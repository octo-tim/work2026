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tim/Desktop/개인/"/>
    </mc:Choice>
  </mc:AlternateContent>
  <xr:revisionPtr revIDLastSave="0" documentId="13_ncr:1_{F72AD162-017F-A747-BFC7-C2EA97906503}" xr6:coauthVersionLast="47" xr6:coauthVersionMax="47" xr10:uidLastSave="{00000000-0000-0000-0000-000000000000}"/>
  <bookViews>
    <workbookView xWindow="0" yWindow="760" windowWidth="30240" windowHeight="17760" xr2:uid="{D51CC049-47E9-C248-9141-CC99264C36A0}"/>
  </bookViews>
  <sheets>
    <sheet name="futures" sheetId="2" r:id="rId1"/>
    <sheet name="f contract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D8" i="2"/>
  <c r="C9" i="2"/>
  <c r="C13" i="2" s="1"/>
  <c r="D9" i="2"/>
  <c r="AT5" i="2" l="1"/>
  <c r="AT4" i="2"/>
  <c r="AV5" i="2"/>
  <c r="AW5" i="2"/>
  <c r="AM6" i="2"/>
  <c r="AN6" i="2"/>
  <c r="AO6" i="2"/>
  <c r="AF6" i="2"/>
  <c r="AG6" i="2" s="1"/>
  <c r="AH6" i="2"/>
  <c r="AO5" i="2"/>
  <c r="AH5" i="2"/>
  <c r="AF5" i="2"/>
  <c r="AG5" i="2" s="1"/>
  <c r="AF4" i="2"/>
  <c r="AG4" i="2" s="1"/>
  <c r="J5" i="2"/>
  <c r="K5" i="2" s="1"/>
  <c r="L5" i="2"/>
  <c r="J4" i="2"/>
  <c r="K4" i="2" s="1"/>
  <c r="I37" i="2"/>
  <c r="CL4" i="2"/>
  <c r="CM4" i="2" s="1"/>
  <c r="CM35" i="2" s="1"/>
  <c r="BK4" i="2"/>
  <c r="BI4" i="2"/>
  <c r="AO4" i="2"/>
  <c r="AM4" i="2"/>
  <c r="AN4" i="2" s="1"/>
  <c r="AN5" i="2" s="1"/>
  <c r="K37" i="2"/>
  <c r="CN4" i="2"/>
  <c r="CF4" i="2"/>
  <c r="BY4" i="2"/>
  <c r="BR4" i="2"/>
  <c r="BD4" i="2"/>
  <c r="AV4" i="2"/>
  <c r="AH4" i="2"/>
  <c r="AA4" i="2"/>
  <c r="T4" i="2"/>
  <c r="D21" i="5"/>
  <c r="E21" i="5"/>
  <c r="G21" i="5"/>
  <c r="H21" i="5"/>
  <c r="J21" i="5"/>
  <c r="K21" i="5"/>
  <c r="L21" i="5"/>
  <c r="N21" i="5"/>
  <c r="O21" i="5"/>
  <c r="Q21" i="5"/>
  <c r="R21" i="5"/>
  <c r="S21" i="5"/>
  <c r="T21" i="5"/>
  <c r="V21" i="5"/>
  <c r="W21" i="5"/>
  <c r="C21" i="5"/>
  <c r="W16" i="5"/>
  <c r="V16" i="5"/>
  <c r="O15" i="5"/>
  <c r="O18" i="5"/>
  <c r="O20" i="5"/>
  <c r="N15" i="5"/>
  <c r="N18" i="5"/>
  <c r="Y4" i="2"/>
  <c r="CR16" i="2"/>
  <c r="CR4" i="2"/>
  <c r="CS4" i="2" s="1"/>
  <c r="CR17" i="2" s="1"/>
  <c r="CR18" i="2" s="1"/>
  <c r="BQ2" i="2"/>
  <c r="S4" i="2" s="1"/>
  <c r="S35" i="2" s="1"/>
  <c r="L16" i="5"/>
  <c r="K16" i="5"/>
  <c r="K15" i="5"/>
  <c r="H16" i="5"/>
  <c r="E16" i="5"/>
  <c r="C16" i="5"/>
  <c r="D15" i="5"/>
  <c r="D18" i="5"/>
  <c r="C25" i="2"/>
  <c r="N20" i="5"/>
  <c r="N25" i="5"/>
  <c r="O25" i="5"/>
  <c r="K18" i="5"/>
  <c r="D25" i="5"/>
  <c r="D20" i="5"/>
  <c r="E22" i="2"/>
  <c r="D23" i="2"/>
  <c r="K20" i="5"/>
  <c r="K25" i="5"/>
  <c r="BB4" i="2"/>
  <c r="BO16" i="2"/>
  <c r="S2" i="2"/>
  <c r="CR12" i="2"/>
  <c r="CR11" i="2"/>
  <c r="R4" i="2"/>
  <c r="CS8" i="2"/>
  <c r="CR9" i="2" s="1"/>
  <c r="L4" i="2"/>
  <c r="L15" i="5"/>
  <c r="L18" i="5"/>
  <c r="J15" i="5"/>
  <c r="J18" i="5"/>
  <c r="T15" i="5"/>
  <c r="T18" i="5"/>
  <c r="S15" i="5"/>
  <c r="S18" i="5"/>
  <c r="R15" i="5"/>
  <c r="R18" i="5"/>
  <c r="Q15" i="5"/>
  <c r="Q18" i="5"/>
  <c r="E15" i="5"/>
  <c r="E18" i="5"/>
  <c r="C15" i="5"/>
  <c r="C18" i="5"/>
  <c r="H15" i="5"/>
  <c r="H18" i="5"/>
  <c r="G15" i="5"/>
  <c r="G18" i="5"/>
  <c r="W10" i="5"/>
  <c r="V10" i="5"/>
  <c r="V15" i="5"/>
  <c r="CD4" i="2"/>
  <c r="CE4" i="2" s="1"/>
  <c r="AW4" i="2"/>
  <c r="BW4" i="2"/>
  <c r="BP4" i="2"/>
  <c r="BC4" i="2"/>
  <c r="BC35" i="2"/>
  <c r="Q20" i="5"/>
  <c r="Q25" i="5"/>
  <c r="V18" i="5"/>
  <c r="V25" i="5"/>
  <c r="T20" i="5"/>
  <c r="T25" i="5"/>
  <c r="S20" i="5"/>
  <c r="S25" i="5"/>
  <c r="R20" i="5"/>
  <c r="R25" i="5"/>
  <c r="L20" i="5"/>
  <c r="L25" i="5"/>
  <c r="J20" i="5"/>
  <c r="J25" i="5"/>
  <c r="C20" i="5"/>
  <c r="C25" i="5"/>
  <c r="E20" i="5"/>
  <c r="E25" i="5"/>
  <c r="H20" i="5"/>
  <c r="H25" i="5"/>
  <c r="G20" i="5"/>
  <c r="G25" i="5"/>
  <c r="W15" i="5"/>
  <c r="W18" i="5"/>
  <c r="W20" i="5"/>
  <c r="W25" i="5"/>
  <c r="V20" i="5"/>
  <c r="AU5" i="2" l="1"/>
  <c r="AG35" i="2"/>
  <c r="AN35" i="2"/>
  <c r="AM5" i="2"/>
  <c r="AU4" i="2"/>
  <c r="AU35" i="2" s="1"/>
  <c r="K35" i="2"/>
  <c r="BQ4" i="2"/>
  <c r="BQ35" i="2" s="1"/>
  <c r="BX4" i="2"/>
  <c r="BX35" i="2" s="1"/>
  <c r="Z4" i="2"/>
  <c r="Z35" i="2" s="1"/>
  <c r="CE35" i="2"/>
  <c r="C21" i="2" s="1"/>
  <c r="E21" i="2" s="1"/>
  <c r="BJ4" i="2"/>
  <c r="BJ35" i="2" s="1"/>
  <c r="K38" i="2"/>
  <c r="C19" i="2"/>
  <c r="E19" i="2" s="1"/>
  <c r="C18" i="2" l="1"/>
  <c r="E18" i="2" s="1"/>
  <c r="C20" i="2"/>
  <c r="E20" i="2" s="1"/>
  <c r="C35" i="2"/>
  <c r="C23" i="2"/>
  <c r="C27" i="2" s="1"/>
  <c r="E23" i="2" l="1"/>
</calcChain>
</file>

<file path=xl/sharedStrings.xml><?xml version="1.0" encoding="utf-8"?>
<sst xmlns="http://schemas.openxmlformats.org/spreadsheetml/2006/main" count="239" uniqueCount="135">
  <si>
    <t>K200</t>
    <phoneticPr fontId="2" type="noConversion"/>
  </si>
  <si>
    <t>MNQ</t>
    <phoneticPr fontId="4" type="noConversion"/>
  </si>
  <si>
    <t>MES</t>
    <phoneticPr fontId="4" type="noConversion"/>
  </si>
  <si>
    <t>usdkrw</t>
    <phoneticPr fontId="2" type="noConversion"/>
  </si>
  <si>
    <t>JY</t>
    <phoneticPr fontId="2" type="noConversion"/>
  </si>
  <si>
    <t>bond_KT</t>
    <phoneticPr fontId="2" type="noConversion"/>
  </si>
  <si>
    <t>usT 10</t>
    <phoneticPr fontId="4" type="noConversion"/>
  </si>
  <si>
    <t>ZN</t>
    <phoneticPr fontId="4" type="noConversion"/>
  </si>
  <si>
    <t>MCL</t>
    <phoneticPr fontId="4" type="noConversion"/>
  </si>
  <si>
    <t>MGC</t>
    <phoneticPr fontId="4" type="noConversion"/>
  </si>
  <si>
    <t>date</t>
    <phoneticPr fontId="2" type="noConversion"/>
  </si>
  <si>
    <t>#c</t>
    <phoneticPr fontId="2" type="noConversion"/>
  </si>
  <si>
    <t>price</t>
    <phoneticPr fontId="2" type="noConversion"/>
  </si>
  <si>
    <t>mkt</t>
    <phoneticPr fontId="2" type="noConversion"/>
  </si>
  <si>
    <t>pl</t>
    <phoneticPr fontId="2" type="noConversion"/>
  </si>
  <si>
    <t>po</t>
    <phoneticPr fontId="2" type="noConversion"/>
  </si>
  <si>
    <t/>
  </si>
  <si>
    <t>PL</t>
    <phoneticPr fontId="2" type="noConversion"/>
  </si>
  <si>
    <t>종목코드</t>
    <phoneticPr fontId="4" type="noConversion"/>
  </si>
  <si>
    <t>증거금</t>
    <phoneticPr fontId="4" type="noConversion"/>
  </si>
  <si>
    <t>JY</t>
    <phoneticPr fontId="4" type="noConversion"/>
  </si>
  <si>
    <t>J7</t>
    <phoneticPr fontId="4" type="noConversion"/>
  </si>
  <si>
    <t>URO</t>
    <phoneticPr fontId="4" type="noConversion"/>
  </si>
  <si>
    <t>M6E</t>
    <phoneticPr fontId="4" type="noConversion"/>
  </si>
  <si>
    <t>ES</t>
    <phoneticPr fontId="4" type="noConversion"/>
  </si>
  <si>
    <t>NQ</t>
    <phoneticPr fontId="4" type="noConversion"/>
  </si>
  <si>
    <t>ZT</t>
    <phoneticPr fontId="4" type="noConversion"/>
  </si>
  <si>
    <t>CL</t>
    <phoneticPr fontId="4" type="noConversion"/>
  </si>
  <si>
    <t>GC</t>
    <phoneticPr fontId="4" type="noConversion"/>
  </si>
  <si>
    <t>종목명</t>
    <phoneticPr fontId="4" type="noConversion"/>
  </si>
  <si>
    <t>Japanses</t>
    <phoneticPr fontId="4" type="noConversion"/>
  </si>
  <si>
    <t>E-mini</t>
    <phoneticPr fontId="4" type="noConversion"/>
  </si>
  <si>
    <t>Euro</t>
    <phoneticPr fontId="4" type="noConversion"/>
  </si>
  <si>
    <t>E-micro</t>
    <phoneticPr fontId="4" type="noConversion"/>
  </si>
  <si>
    <t>Micro E-mini</t>
    <phoneticPr fontId="4" type="noConversion"/>
  </si>
  <si>
    <t>Mico E-mini</t>
    <phoneticPr fontId="4" type="noConversion"/>
  </si>
  <si>
    <t>10 year</t>
    <phoneticPr fontId="4" type="noConversion"/>
  </si>
  <si>
    <t>2 year</t>
    <phoneticPr fontId="4" type="noConversion"/>
  </si>
  <si>
    <t>Micro</t>
    <phoneticPr fontId="4" type="noConversion"/>
  </si>
  <si>
    <t>Crude Oil</t>
    <phoneticPr fontId="4" type="noConversion"/>
  </si>
  <si>
    <t>e-micro</t>
    <phoneticPr fontId="4" type="noConversion"/>
  </si>
  <si>
    <t>Yen</t>
    <phoneticPr fontId="4" type="noConversion"/>
  </si>
  <si>
    <t>JPY</t>
    <phoneticPr fontId="4" type="noConversion"/>
  </si>
  <si>
    <t>FX</t>
    <phoneticPr fontId="4" type="noConversion"/>
  </si>
  <si>
    <t>EUR/USD</t>
    <phoneticPr fontId="4" type="noConversion"/>
  </si>
  <si>
    <t>S&amp;P 500</t>
    <phoneticPr fontId="4" type="noConversion"/>
  </si>
  <si>
    <t>Nasdaq 100</t>
    <phoneticPr fontId="4" type="noConversion"/>
  </si>
  <si>
    <t>US T-note</t>
    <phoneticPr fontId="4" type="noConversion"/>
  </si>
  <si>
    <t>(WTI)</t>
    <phoneticPr fontId="4" type="noConversion"/>
  </si>
  <si>
    <t>WTI</t>
    <phoneticPr fontId="4" type="noConversion"/>
  </si>
  <si>
    <t>Gold</t>
    <phoneticPr fontId="4" type="noConversion"/>
  </si>
  <si>
    <t>거래소</t>
    <phoneticPr fontId="4" type="noConversion"/>
  </si>
  <si>
    <t>cme</t>
    <phoneticPr fontId="4" type="noConversion"/>
  </si>
  <si>
    <t>cbot</t>
    <phoneticPr fontId="4" type="noConversion"/>
  </si>
  <si>
    <t>nymex</t>
    <phoneticPr fontId="4" type="noConversion"/>
  </si>
  <si>
    <t>comex</t>
    <phoneticPr fontId="4" type="noConversion"/>
  </si>
  <si>
    <t>기준통화</t>
    <phoneticPr fontId="4" type="noConversion"/>
  </si>
  <si>
    <t>usd</t>
    <phoneticPr fontId="4" type="noConversion"/>
  </si>
  <si>
    <t>호가단위</t>
    <phoneticPr fontId="4" type="noConversion"/>
  </si>
  <si>
    <t>최소가격변동액</t>
    <phoneticPr fontId="4" type="noConversion"/>
  </si>
  <si>
    <t>계약당금액</t>
    <phoneticPr fontId="4" type="noConversion"/>
  </si>
  <si>
    <t>승수</t>
    <phoneticPr fontId="4" type="noConversion"/>
  </si>
  <si>
    <t>가격</t>
    <phoneticPr fontId="4" type="noConversion"/>
  </si>
  <si>
    <t>margin (%)</t>
    <phoneticPr fontId="4" type="noConversion"/>
  </si>
  <si>
    <t>Liquidity</t>
    <phoneticPr fontId="4" type="noConversion"/>
  </si>
  <si>
    <t>PL %</t>
    <phoneticPr fontId="2" type="noConversion"/>
  </si>
  <si>
    <t>IVV</t>
    <phoneticPr fontId="2" type="noConversion"/>
  </si>
  <si>
    <t>Total</t>
    <phoneticPr fontId="2" type="noConversion"/>
  </si>
  <si>
    <t>ch</t>
    <phoneticPr fontId="2" type="noConversion"/>
  </si>
  <si>
    <t>TLT</t>
    <phoneticPr fontId="2" type="noConversion"/>
  </si>
  <si>
    <t>TMF</t>
    <phoneticPr fontId="2" type="noConversion"/>
  </si>
  <si>
    <t>TMV</t>
    <phoneticPr fontId="2" type="noConversion"/>
  </si>
  <si>
    <t>17y duration</t>
    <phoneticPr fontId="2" type="noConversion"/>
  </si>
  <si>
    <t>*3</t>
    <phoneticPr fontId="2" type="noConversion"/>
  </si>
  <si>
    <t>*3 bear</t>
    <phoneticPr fontId="2" type="noConversion"/>
  </si>
  <si>
    <t>TQQQ</t>
    <phoneticPr fontId="2" type="noConversion"/>
  </si>
  <si>
    <t>QQQ</t>
    <phoneticPr fontId="2" type="noConversion"/>
  </si>
  <si>
    <t>SPY</t>
    <phoneticPr fontId="2" type="noConversion"/>
  </si>
  <si>
    <t>VOO</t>
    <phoneticPr fontId="2" type="noConversion"/>
  </si>
  <si>
    <t>QQQM</t>
    <phoneticPr fontId="2" type="noConversion"/>
  </si>
  <si>
    <t>BTC</t>
    <phoneticPr fontId="2" type="noConversion"/>
  </si>
  <si>
    <t>매수금액</t>
    <phoneticPr fontId="2" type="noConversion"/>
  </si>
  <si>
    <t>매수가격</t>
    <phoneticPr fontId="2" type="noConversion"/>
  </si>
  <si>
    <t>usd</t>
    <phoneticPr fontId="2" type="noConversion"/>
  </si>
  <si>
    <t>YTD PL</t>
    <phoneticPr fontId="2" type="noConversion"/>
  </si>
  <si>
    <t>target</t>
    <phoneticPr fontId="2" type="noConversion"/>
  </si>
  <si>
    <t>stop loss</t>
    <phoneticPr fontId="2" type="noConversion"/>
  </si>
  <si>
    <t>OR</t>
    <phoneticPr fontId="2" type="noConversion"/>
  </si>
  <si>
    <t>3yr</t>
    <phoneticPr fontId="2" type="noConversion"/>
  </si>
  <si>
    <t>EQ</t>
  </si>
  <si>
    <t>FX</t>
  </si>
  <si>
    <t>Bond</t>
  </si>
  <si>
    <t>YTD</t>
    <phoneticPr fontId="2" type="noConversion"/>
  </si>
  <si>
    <t>MTD</t>
    <phoneticPr fontId="2" type="noConversion"/>
  </si>
  <si>
    <t>ITD</t>
    <phoneticPr fontId="2" type="noConversion"/>
  </si>
  <si>
    <t>Admin</t>
    <phoneticPr fontId="2" type="noConversion"/>
  </si>
  <si>
    <t>Comm</t>
    <phoneticPr fontId="2" type="noConversion"/>
  </si>
  <si>
    <t>Budget</t>
    <phoneticPr fontId="2" type="noConversion"/>
  </si>
  <si>
    <t>Stop loss</t>
    <phoneticPr fontId="2" type="noConversion"/>
  </si>
  <si>
    <t>Cash</t>
    <phoneticPr fontId="2" type="noConversion"/>
  </si>
  <si>
    <t>E7</t>
    <phoneticPr fontId="2" type="noConversion"/>
  </si>
  <si>
    <t>E-mini</t>
    <phoneticPr fontId="2" type="noConversion"/>
  </si>
  <si>
    <t>Euro FX</t>
    <phoneticPr fontId="2" type="noConversion"/>
  </si>
  <si>
    <t>cme</t>
    <phoneticPr fontId="2" type="noConversion"/>
  </si>
  <si>
    <t>거래량(계약수)</t>
    <phoneticPr fontId="2" type="noConversion"/>
  </si>
  <si>
    <t>QM</t>
    <phoneticPr fontId="4" type="noConversion"/>
  </si>
  <si>
    <t>miNY</t>
    <phoneticPr fontId="4" type="noConversion"/>
  </si>
  <si>
    <r>
      <rPr>
        <b/>
        <sz val="11"/>
        <rFont val="Malgun Gothic"/>
        <family val="2"/>
        <charset val="129"/>
      </rPr>
      <t>거래량</t>
    </r>
    <r>
      <rPr>
        <b/>
        <sz val="11"/>
        <rFont val="Arial"/>
        <family val="2"/>
      </rPr>
      <t>(usd mm)</t>
    </r>
    <phoneticPr fontId="2" type="noConversion"/>
  </si>
  <si>
    <r>
      <rPr>
        <b/>
        <sz val="11"/>
        <rFont val="Malgun Gothic"/>
        <family val="2"/>
        <charset val="129"/>
      </rPr>
      <t xml:space="preserve">원금 </t>
    </r>
    <r>
      <rPr>
        <b/>
        <sz val="11"/>
        <rFont val="Arial"/>
        <family val="2"/>
      </rPr>
      <t>(in USD)</t>
    </r>
    <phoneticPr fontId="4" type="noConversion"/>
  </si>
  <si>
    <t>6J</t>
    <phoneticPr fontId="4" type="noConversion"/>
  </si>
  <si>
    <t>테더</t>
    <phoneticPr fontId="2" type="noConversion"/>
  </si>
  <si>
    <t>usdwon</t>
    <phoneticPr fontId="2" type="noConversion"/>
  </si>
  <si>
    <t>usdwon C</t>
    <phoneticPr fontId="2" type="noConversion"/>
  </si>
  <si>
    <t>diff (won)</t>
    <phoneticPr fontId="2" type="noConversion"/>
  </si>
  <si>
    <t>x</t>
    <phoneticPr fontId="4" type="noConversion"/>
  </si>
  <si>
    <t>xx</t>
    <phoneticPr fontId="4" type="noConversion"/>
  </si>
  <si>
    <t>URO</t>
    <phoneticPr fontId="2" type="noConversion"/>
  </si>
  <si>
    <t>be</t>
    <phoneticPr fontId="2" type="noConversion"/>
  </si>
  <si>
    <t>MCL</t>
    <phoneticPr fontId="2" type="noConversion"/>
  </si>
  <si>
    <r>
      <t>32</t>
    </r>
    <r>
      <rPr>
        <sz val="11"/>
        <rFont val="Malgun Gothic"/>
        <family val="2"/>
        <charset val="129"/>
      </rPr>
      <t>진법</t>
    </r>
    <phoneticPr fontId="4" type="noConversion"/>
  </si>
  <si>
    <t>nq 100</t>
    <phoneticPr fontId="4" type="noConversion"/>
  </si>
  <si>
    <r>
      <t xml:space="preserve">32 </t>
    </r>
    <r>
      <rPr>
        <sz val="11"/>
        <rFont val="Malgun Gothic"/>
        <family val="2"/>
        <charset val="129"/>
      </rPr>
      <t>진법</t>
    </r>
    <phoneticPr fontId="4" type="noConversion"/>
  </si>
  <si>
    <t>leverage</t>
    <phoneticPr fontId="4" type="noConversion"/>
  </si>
  <si>
    <t>feb</t>
    <phoneticPr fontId="2" type="noConversion"/>
  </si>
  <si>
    <t>mar</t>
    <phoneticPr fontId="2" type="noConversion"/>
  </si>
  <si>
    <t>may</t>
    <phoneticPr fontId="2" type="noConversion"/>
  </si>
  <si>
    <t>jun</t>
    <phoneticPr fontId="2" type="noConversion"/>
  </si>
  <si>
    <t>bond_KTB3</t>
    <phoneticPr fontId="2" type="noConversion"/>
  </si>
  <si>
    <t>KQ150</t>
    <phoneticPr fontId="2" type="noConversion"/>
  </si>
  <si>
    <t>CLJ</t>
    <phoneticPr fontId="4" type="noConversion"/>
  </si>
  <si>
    <t>long&amp;short / major</t>
    <phoneticPr fontId="2" type="noConversion"/>
  </si>
  <si>
    <t>short term</t>
    <phoneticPr fontId="2" type="noConversion"/>
  </si>
  <si>
    <t>long term</t>
    <phoneticPr fontId="2" type="noConversion"/>
  </si>
  <si>
    <t>월손익</t>
    <phoneticPr fontId="2" type="noConversion"/>
  </si>
  <si>
    <t>누적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</si>
</sst>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(* #,##0_);_(* \(#,##0\);_(* &quot;-&quot;_);_(@_)"/>
    <numFmt numFmtId="176" formatCode="0_);\(0\)"/>
    <numFmt numFmtId="177" formatCode="0.0%"/>
    <numFmt numFmtId="178" formatCode="0_ "/>
    <numFmt numFmtId="179" formatCode="#,##0.0_ "/>
    <numFmt numFmtId="180" formatCode="yyyy/mm/dd;@"/>
    <numFmt numFmtId="181" formatCode="0.0"/>
    <numFmt numFmtId="182" formatCode="#,##0.000000_);\(#,##0.000000\)"/>
    <numFmt numFmtId="183" formatCode="0_);[Red]\(0\)"/>
    <numFmt numFmtId="184" formatCode="_(* #,##0.00_);_(* \(#,##0.00\);_(* &quot;-&quot;_);_(@_)"/>
    <numFmt numFmtId="185" formatCode="_(* #,##0.0000_);_(* \(#,##0.0000\);_(* &quot;-&quot;_);_(@_)"/>
    <numFmt numFmtId="186" formatCode="0.000"/>
    <numFmt numFmtId="187" formatCode="m&quot;월&quot;\ d&quot;일&quot;"/>
    <numFmt numFmtId="188" formatCode="#,##0.00000_ "/>
    <numFmt numFmtId="189" formatCode="#,##0.000_);\(#,##0.000\)"/>
    <numFmt numFmtId="190" formatCode="#,##0.00000_);\(#,##0.00000\)"/>
    <numFmt numFmtId="191" formatCode="0.00000"/>
  </numFmts>
  <fonts count="17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Arial"/>
      <family val="2"/>
    </font>
    <font>
      <sz val="8"/>
      <name val="나눔명조"/>
      <family val="3"/>
      <charset val="129"/>
    </font>
    <font>
      <sz val="11"/>
      <name val="Malgun Gothic"/>
      <family val="2"/>
      <charset val="129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1"/>
      <name val="Arial"/>
      <family val="2"/>
      <charset val="129"/>
    </font>
    <font>
      <sz val="12"/>
      <color theme="1"/>
      <name val="Arial"/>
      <family val="2"/>
    </font>
    <font>
      <sz val="12"/>
      <color theme="1"/>
      <name val="Malgun Gothic"/>
      <family val="2"/>
      <charset val="129"/>
    </font>
    <font>
      <b/>
      <sz val="11"/>
      <name val="Malgun Gothic"/>
      <family val="2"/>
      <charset val="129"/>
    </font>
    <font>
      <b/>
      <sz val="12"/>
      <color theme="1"/>
      <name val="Malgun Gothic"/>
      <family val="2"/>
      <charset val="129"/>
    </font>
    <font>
      <b/>
      <sz val="12"/>
      <color theme="1"/>
      <name val="Arial"/>
      <family val="2"/>
    </font>
    <font>
      <b/>
      <sz val="11"/>
      <name val="Arial"/>
      <family val="2"/>
      <charset val="129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81">
    <xf numFmtId="0" fontId="0" fillId="0" borderId="0" xfId="0">
      <alignment vertical="center"/>
    </xf>
    <xf numFmtId="0" fontId="3" fillId="0" borderId="0" xfId="0" applyFont="1" applyAlignment="1"/>
    <xf numFmtId="37" fontId="3" fillId="0" borderId="0" xfId="0" applyNumberFormat="1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/>
    <xf numFmtId="0" fontId="7" fillId="0" borderId="0" xfId="0" applyFont="1">
      <alignment vertical="center"/>
    </xf>
    <xf numFmtId="0" fontId="3" fillId="0" borderId="0" xfId="0" applyFont="1">
      <alignment vertical="center"/>
    </xf>
    <xf numFmtId="2" fontId="3" fillId="3" borderId="0" xfId="0" applyNumberFormat="1" applyFont="1" applyFill="1">
      <alignment vertical="center"/>
    </xf>
    <xf numFmtId="39" fontId="3" fillId="3" borderId="0" xfId="0" applyNumberFormat="1" applyFont="1" applyFill="1">
      <alignment vertical="center"/>
    </xf>
    <xf numFmtId="179" fontId="3" fillId="3" borderId="0" xfId="0" applyNumberFormat="1" applyFont="1" applyFill="1">
      <alignment vertical="center"/>
    </xf>
    <xf numFmtId="2" fontId="3" fillId="0" borderId="0" xfId="0" applyNumberFormat="1" applyFont="1">
      <alignment vertical="center"/>
    </xf>
    <xf numFmtId="0" fontId="3" fillId="0" borderId="0" xfId="0" quotePrefix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80" fontId="3" fillId="0" borderId="0" xfId="0" applyNumberFormat="1" applyFont="1">
      <alignment vertical="center"/>
    </xf>
    <xf numFmtId="37" fontId="3" fillId="0" borderId="0" xfId="0" applyNumberFormat="1" applyFont="1">
      <alignment vertical="center"/>
    </xf>
    <xf numFmtId="39" fontId="3" fillId="0" borderId="0" xfId="0" applyNumberFormat="1" applyFont="1">
      <alignment vertical="center"/>
    </xf>
    <xf numFmtId="2" fontId="3" fillId="0" borderId="0" xfId="0" applyNumberFormat="1" applyFont="1" applyAlignment="1">
      <alignment horizontal="center" vertical="center"/>
    </xf>
    <xf numFmtId="37" fontId="8" fillId="0" borderId="0" xfId="0" applyNumberFormat="1" applyFont="1">
      <alignment vertical="center"/>
    </xf>
    <xf numFmtId="2" fontId="3" fillId="0" borderId="9" xfId="0" applyNumberFormat="1" applyFont="1" applyBorder="1" applyAlignment="1">
      <alignment horizontal="center"/>
    </xf>
    <xf numFmtId="37" fontId="8" fillId="6" borderId="11" xfId="0" applyNumberFormat="1" applyFont="1" applyFill="1" applyBorder="1">
      <alignment vertical="center"/>
    </xf>
    <xf numFmtId="37" fontId="8" fillId="6" borderId="0" xfId="0" applyNumberFormat="1" applyFont="1" applyFill="1">
      <alignment vertical="center"/>
    </xf>
    <xf numFmtId="37" fontId="8" fillId="5" borderId="0" xfId="0" applyNumberFormat="1" applyFont="1" applyFill="1">
      <alignment vertical="center"/>
    </xf>
    <xf numFmtId="2" fontId="3" fillId="0" borderId="0" xfId="0" applyNumberFormat="1" applyFont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3" xfId="0" applyFont="1" applyBorder="1" applyAlignment="1"/>
    <xf numFmtId="38" fontId="3" fillId="0" borderId="13" xfId="0" applyNumberFormat="1" applyFont="1" applyBorder="1" applyAlignment="1"/>
    <xf numFmtId="38" fontId="3" fillId="0" borderId="0" xfId="0" applyNumberFormat="1" applyFont="1" applyAlignment="1"/>
    <xf numFmtId="37" fontId="3" fillId="0" borderId="13" xfId="0" applyNumberFormat="1" applyFont="1" applyBorder="1" applyAlignment="1"/>
    <xf numFmtId="41" fontId="3" fillId="0" borderId="0" xfId="1" applyFont="1" applyBorder="1" applyAlignment="1"/>
    <xf numFmtId="41" fontId="3" fillId="0" borderId="13" xfId="1" applyFont="1" applyFill="1" applyBorder="1" applyAlignment="1"/>
    <xf numFmtId="41" fontId="3" fillId="0" borderId="0" xfId="1" applyFont="1" applyAlignment="1"/>
    <xf numFmtId="0" fontId="10" fillId="0" borderId="0" xfId="0" applyFont="1" applyAlignment="1"/>
    <xf numFmtId="177" fontId="3" fillId="0" borderId="0" xfId="2" applyNumberFormat="1" applyFont="1" applyBorder="1" applyAlignment="1"/>
    <xf numFmtId="0" fontId="11" fillId="0" borderId="0" xfId="0" applyFont="1" applyAlignment="1"/>
    <xf numFmtId="0" fontId="3" fillId="0" borderId="3" xfId="0" applyFont="1" applyBorder="1" applyAlignment="1"/>
    <xf numFmtId="0" fontId="3" fillId="0" borderId="5" xfId="0" applyFont="1" applyBorder="1" applyAlignment="1"/>
    <xf numFmtId="0" fontId="3" fillId="0" borderId="8" xfId="0" applyFont="1" applyBorder="1" applyAlignment="1"/>
    <xf numFmtId="0" fontId="3" fillId="0" borderId="14" xfId="0" applyFont="1" applyBorder="1" applyAlignment="1"/>
    <xf numFmtId="180" fontId="3" fillId="2" borderId="0" xfId="0" applyNumberFormat="1" applyFont="1" applyFill="1">
      <alignment vertical="center"/>
    </xf>
    <xf numFmtId="0" fontId="3" fillId="2" borderId="0" xfId="0" applyFont="1" applyFill="1">
      <alignment vertical="center"/>
    </xf>
    <xf numFmtId="2" fontId="3" fillId="2" borderId="0" xfId="0" applyNumberFormat="1" applyFont="1" applyFill="1">
      <alignment vertical="center"/>
    </xf>
    <xf numFmtId="37" fontId="3" fillId="2" borderId="0" xfId="0" applyNumberFormat="1" applyFont="1" applyFill="1">
      <alignment vertical="center"/>
    </xf>
    <xf numFmtId="176" fontId="3" fillId="2" borderId="0" xfId="0" applyNumberFormat="1" applyFont="1" applyFill="1" applyAlignment="1">
      <alignment horizontal="center" vertical="center"/>
    </xf>
    <xf numFmtId="177" fontId="3" fillId="2" borderId="0" xfId="2" applyNumberFormat="1" applyFont="1" applyFill="1" applyAlignment="1">
      <alignment horizontal="center" vertical="center"/>
    </xf>
    <xf numFmtId="39" fontId="3" fillId="2" borderId="0" xfId="0" applyNumberFormat="1" applyFont="1" applyFill="1">
      <alignment vertical="center"/>
    </xf>
    <xf numFmtId="177" fontId="3" fillId="0" borderId="0" xfId="2" applyNumberFormat="1" applyFont="1" applyFill="1" applyAlignment="1">
      <alignment horizontal="center" vertical="center"/>
    </xf>
    <xf numFmtId="37" fontId="3" fillId="3" borderId="0" xfId="0" applyNumberFormat="1" applyFont="1" applyFill="1">
      <alignment vertical="center"/>
    </xf>
    <xf numFmtId="182" fontId="3" fillId="0" borderId="0" xfId="0" applyNumberFormat="1" applyFont="1">
      <alignment vertical="center"/>
    </xf>
    <xf numFmtId="37" fontId="3" fillId="3" borderId="2" xfId="0" applyNumberFormat="1" applyFont="1" applyFill="1" applyBorder="1">
      <alignment vertical="center"/>
    </xf>
    <xf numFmtId="0" fontId="11" fillId="0" borderId="3" xfId="0" applyFont="1" applyBorder="1" applyAlignment="1"/>
    <xf numFmtId="0" fontId="11" fillId="0" borderId="4" xfId="0" applyFont="1" applyBorder="1" applyAlignment="1"/>
    <xf numFmtId="177" fontId="3" fillId="2" borderId="5" xfId="2" applyNumberFormat="1" applyFont="1" applyFill="1" applyBorder="1" applyAlignment="1">
      <alignment horizontal="center" vertical="center"/>
    </xf>
    <xf numFmtId="0" fontId="11" fillId="0" borderId="5" xfId="0" applyFont="1" applyBorder="1" applyAlignment="1"/>
    <xf numFmtId="177" fontId="11" fillId="4" borderId="5" xfId="2" applyNumberFormat="1" applyFont="1" applyFill="1" applyBorder="1" applyAlignment="1"/>
    <xf numFmtId="37" fontId="3" fillId="10" borderId="7" xfId="0" applyNumberFormat="1" applyFont="1" applyFill="1" applyBorder="1">
      <alignment vertical="center"/>
    </xf>
    <xf numFmtId="0" fontId="11" fillId="0" borderId="8" xfId="0" applyFont="1" applyBorder="1" applyAlignment="1"/>
    <xf numFmtId="0" fontId="12" fillId="0" borderId="4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37" fontId="3" fillId="0" borderId="2" xfId="0" applyNumberFormat="1" applyFont="1" applyBorder="1">
      <alignment vertical="center"/>
    </xf>
    <xf numFmtId="0" fontId="3" fillId="0" borderId="10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11" fillId="0" borderId="6" xfId="0" applyFont="1" applyBorder="1" applyAlignment="1"/>
    <xf numFmtId="37" fontId="3" fillId="3" borderId="7" xfId="0" applyNumberFormat="1" applyFont="1" applyFill="1" applyBorder="1">
      <alignment vertical="center"/>
    </xf>
    <xf numFmtId="41" fontId="3" fillId="0" borderId="0" xfId="1" applyFont="1">
      <alignment vertical="center"/>
    </xf>
    <xf numFmtId="180" fontId="3" fillId="12" borderId="0" xfId="0" applyNumberFormat="1" applyFont="1" applyFill="1">
      <alignment vertical="center"/>
    </xf>
    <xf numFmtId="0" fontId="3" fillId="12" borderId="0" xfId="0" applyFont="1" applyFill="1">
      <alignment vertical="center"/>
    </xf>
    <xf numFmtId="2" fontId="3" fillId="12" borderId="0" xfId="0" applyNumberFormat="1" applyFont="1" applyFill="1">
      <alignment vertical="center"/>
    </xf>
    <xf numFmtId="177" fontId="3" fillId="0" borderId="0" xfId="2" applyNumberFormat="1" applyFont="1">
      <alignment vertical="center"/>
    </xf>
    <xf numFmtId="37" fontId="6" fillId="0" borderId="0" xfId="0" applyNumberFormat="1" applyFont="1">
      <alignment vertical="center"/>
    </xf>
    <xf numFmtId="0" fontId="3" fillId="0" borderId="15" xfId="0" applyFont="1" applyBorder="1">
      <alignment vertical="center"/>
    </xf>
    <xf numFmtId="180" fontId="6" fillId="3" borderId="0" xfId="0" applyNumberFormat="1" applyFont="1" applyFill="1">
      <alignment vertical="center"/>
    </xf>
    <xf numFmtId="183" fontId="11" fillId="0" borderId="3" xfId="0" applyNumberFormat="1" applyFont="1" applyBorder="1" applyAlignment="1"/>
    <xf numFmtId="178" fontId="3" fillId="0" borderId="3" xfId="0" applyNumberFormat="1" applyFont="1" applyBorder="1" applyAlignment="1">
      <alignment horizontal="center" vertical="center"/>
    </xf>
    <xf numFmtId="37" fontId="3" fillId="0" borderId="1" xfId="0" applyNumberFormat="1" applyFont="1" applyBorder="1">
      <alignment vertical="center"/>
    </xf>
    <xf numFmtId="37" fontId="3" fillId="0" borderId="3" xfId="0" applyNumberFormat="1" applyFont="1" applyBorder="1">
      <alignment vertical="center"/>
    </xf>
    <xf numFmtId="0" fontId="3" fillId="0" borderId="4" xfId="0" applyFont="1" applyBorder="1">
      <alignment vertical="center"/>
    </xf>
    <xf numFmtId="37" fontId="3" fillId="0" borderId="5" xfId="0" applyNumberFormat="1" applyFont="1" applyBorder="1">
      <alignment vertical="center"/>
    </xf>
    <xf numFmtId="0" fontId="3" fillId="0" borderId="6" xfId="0" applyFont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6" fillId="0" borderId="12" xfId="0" applyFont="1" applyBorder="1" applyAlignment="1"/>
    <xf numFmtId="0" fontId="6" fillId="0" borderId="13" xfId="0" applyFont="1" applyBorder="1" applyAlignment="1"/>
    <xf numFmtId="180" fontId="3" fillId="13" borderId="0" xfId="0" applyNumberFormat="1" applyFont="1" applyFill="1">
      <alignment vertical="center"/>
    </xf>
    <xf numFmtId="0" fontId="3" fillId="13" borderId="0" xfId="0" applyFont="1" applyFill="1">
      <alignment vertical="center"/>
    </xf>
    <xf numFmtId="2" fontId="3" fillId="13" borderId="0" xfId="0" applyNumberFormat="1" applyFont="1" applyFill="1">
      <alignment vertical="center"/>
    </xf>
    <xf numFmtId="37" fontId="3" fillId="13" borderId="0" xfId="0" applyNumberFormat="1" applyFont="1" applyFill="1">
      <alignment vertical="center"/>
    </xf>
    <xf numFmtId="176" fontId="3" fillId="13" borderId="0" xfId="0" applyNumberFormat="1" applyFont="1" applyFill="1" applyAlignment="1">
      <alignment horizontal="center" vertical="center"/>
    </xf>
    <xf numFmtId="180" fontId="3" fillId="7" borderId="0" xfId="0" applyNumberFormat="1" applyFont="1" applyFill="1">
      <alignment vertical="center"/>
    </xf>
    <xf numFmtId="0" fontId="3" fillId="7" borderId="0" xfId="0" applyFont="1" applyFill="1">
      <alignment vertical="center"/>
    </xf>
    <xf numFmtId="39" fontId="3" fillId="7" borderId="0" xfId="0" applyNumberFormat="1" applyFont="1" applyFill="1">
      <alignment vertical="center"/>
    </xf>
    <xf numFmtId="37" fontId="3" fillId="7" borderId="0" xfId="0" applyNumberFormat="1" applyFont="1" applyFill="1">
      <alignment vertical="center"/>
    </xf>
    <xf numFmtId="176" fontId="3" fillId="7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>
      <alignment vertical="center"/>
    </xf>
    <xf numFmtId="37" fontId="6" fillId="0" borderId="7" xfId="0" applyNumberFormat="1" applyFont="1" applyBorder="1">
      <alignment vertical="center"/>
    </xf>
    <xf numFmtId="0" fontId="3" fillId="0" borderId="9" xfId="0" applyFont="1" applyBorder="1" applyAlignment="1">
      <alignment horizontal="center" vertical="center"/>
    </xf>
    <xf numFmtId="37" fontId="3" fillId="0" borderId="13" xfId="0" applyNumberFormat="1" applyFont="1" applyBorder="1">
      <alignment vertical="center"/>
    </xf>
    <xf numFmtId="37" fontId="6" fillId="0" borderId="9" xfId="0" applyNumberFormat="1" applyFont="1" applyBorder="1">
      <alignment vertical="center"/>
    </xf>
    <xf numFmtId="37" fontId="7" fillId="0" borderId="13" xfId="0" applyNumberFormat="1" applyFont="1" applyBorder="1">
      <alignment vertical="center"/>
    </xf>
    <xf numFmtId="0" fontId="6" fillId="0" borderId="6" xfId="0" applyFont="1" applyBorder="1">
      <alignment vertical="center"/>
    </xf>
    <xf numFmtId="37" fontId="3" fillId="0" borderId="8" xfId="0" applyNumberFormat="1" applyFont="1" applyBorder="1">
      <alignment vertical="center"/>
    </xf>
    <xf numFmtId="9" fontId="3" fillId="0" borderId="7" xfId="2" applyFont="1" applyBorder="1">
      <alignment vertical="center"/>
    </xf>
    <xf numFmtId="9" fontId="3" fillId="0" borderId="8" xfId="2" applyFont="1" applyBorder="1">
      <alignment vertical="center"/>
    </xf>
    <xf numFmtId="37" fontId="6" fillId="9" borderId="9" xfId="0" applyNumberFormat="1" applyFont="1" applyFill="1" applyBorder="1">
      <alignment vertical="center"/>
    </xf>
    <xf numFmtId="0" fontId="15" fillId="0" borderId="1" xfId="0" applyFont="1" applyBorder="1" applyAlignment="1">
      <alignment horizontal="center"/>
    </xf>
    <xf numFmtId="0" fontId="11" fillId="0" borderId="1" xfId="0" applyFont="1" applyBorder="1" applyAlignment="1"/>
    <xf numFmtId="9" fontId="11" fillId="0" borderId="3" xfId="0" applyNumberFormat="1" applyFont="1" applyBorder="1" applyAlignment="1">
      <alignment horizontal="center" vertical="center"/>
    </xf>
    <xf numFmtId="9" fontId="11" fillId="0" borderId="5" xfId="0" applyNumberFormat="1" applyFont="1" applyBorder="1" applyAlignment="1">
      <alignment horizontal="center" vertical="center"/>
    </xf>
    <xf numFmtId="14" fontId="11" fillId="0" borderId="7" xfId="0" applyNumberFormat="1" applyFont="1" applyBorder="1" applyAlignment="1"/>
    <xf numFmtId="0" fontId="11" fillId="0" borderId="8" xfId="0" applyFont="1" applyBorder="1" applyAlignment="1">
      <alignment horizontal="center" vertical="center"/>
    </xf>
    <xf numFmtId="37" fontId="3" fillId="3" borderId="0" xfId="0" applyNumberFormat="1" applyFont="1" applyFill="1" applyAlignment="1"/>
    <xf numFmtId="37" fontId="3" fillId="11" borderId="0" xfId="0" applyNumberFormat="1" applyFont="1" applyFill="1">
      <alignment vertical="center"/>
    </xf>
    <xf numFmtId="37" fontId="6" fillId="11" borderId="0" xfId="0" applyNumberFormat="1" applyFont="1" applyFill="1">
      <alignment vertical="center"/>
    </xf>
    <xf numFmtId="9" fontId="3" fillId="11" borderId="0" xfId="2" applyFont="1" applyFill="1" applyBorder="1">
      <alignment vertical="center"/>
    </xf>
    <xf numFmtId="0" fontId="5" fillId="0" borderId="0" xfId="0" applyFont="1" applyAlignment="1"/>
    <xf numFmtId="41" fontId="3" fillId="3" borderId="0" xfId="1" applyFont="1" applyFill="1" applyBorder="1" applyAlignment="1"/>
    <xf numFmtId="177" fontId="3" fillId="3" borderId="0" xfId="2" applyNumberFormat="1" applyFont="1" applyFill="1" applyBorder="1" applyAlignment="1"/>
    <xf numFmtId="184" fontId="3" fillId="3" borderId="0" xfId="1" applyNumberFormat="1" applyFont="1" applyFill="1" applyBorder="1" applyAlignment="1"/>
    <xf numFmtId="184" fontId="3" fillId="3" borderId="13" xfId="1" applyNumberFormat="1" applyFont="1" applyFill="1" applyBorder="1" applyAlignment="1"/>
    <xf numFmtId="41" fontId="3" fillId="3" borderId="13" xfId="1" applyFont="1" applyFill="1" applyBorder="1" applyAlignment="1"/>
    <xf numFmtId="37" fontId="3" fillId="3" borderId="13" xfId="0" applyNumberFormat="1" applyFont="1" applyFill="1" applyBorder="1" applyAlignment="1"/>
    <xf numFmtId="177" fontId="3" fillId="3" borderId="13" xfId="2" applyNumberFormat="1" applyFont="1" applyFill="1" applyBorder="1" applyAlignment="1"/>
    <xf numFmtId="41" fontId="3" fillId="3" borderId="14" xfId="1" applyFont="1" applyFill="1" applyBorder="1" applyAlignment="1"/>
    <xf numFmtId="41" fontId="3" fillId="0" borderId="0" xfId="1" applyFont="1" applyFill="1" applyBorder="1" applyAlignment="1"/>
    <xf numFmtId="177" fontId="3" fillId="0" borderId="0" xfId="2" applyNumberFormat="1" applyFont="1" applyFill="1" applyBorder="1" applyAlignment="1"/>
    <xf numFmtId="181" fontId="3" fillId="0" borderId="0" xfId="0" applyNumberFormat="1" applyFont="1" applyAlignment="1"/>
    <xf numFmtId="186" fontId="3" fillId="0" borderId="0" xfId="0" applyNumberFormat="1" applyFont="1" applyAlignment="1"/>
    <xf numFmtId="186" fontId="3" fillId="0" borderId="13" xfId="0" applyNumberFormat="1" applyFont="1" applyBorder="1" applyAlignment="1"/>
    <xf numFmtId="184" fontId="3" fillId="0" borderId="0" xfId="1" applyNumberFormat="1" applyFont="1" applyFill="1" applyBorder="1" applyAlignment="1"/>
    <xf numFmtId="0" fontId="3" fillId="9" borderId="12" xfId="0" applyFont="1" applyFill="1" applyBorder="1" applyAlignment="1">
      <alignment horizontal="center"/>
    </xf>
    <xf numFmtId="0" fontId="16" fillId="0" borderId="0" xfId="0" applyFont="1" applyAlignment="1"/>
    <xf numFmtId="14" fontId="3" fillId="8" borderId="0" xfId="0" applyNumberFormat="1" applyFont="1" applyFill="1" applyAlignment="1"/>
    <xf numFmtId="0" fontId="12" fillId="0" borderId="0" xfId="0" applyFont="1" applyAlignment="1"/>
    <xf numFmtId="181" fontId="11" fillId="0" borderId="0" xfId="0" applyNumberFormat="1" applyFont="1" applyAlignment="1"/>
    <xf numFmtId="1" fontId="11" fillId="0" borderId="0" xfId="0" applyNumberFormat="1" applyFont="1" applyAlignment="1"/>
    <xf numFmtId="0" fontId="14" fillId="0" borderId="0" xfId="0" applyFont="1" applyAlignment="1"/>
    <xf numFmtId="0" fontId="15" fillId="0" borderId="0" xfId="0" applyFont="1" applyAlignment="1"/>
    <xf numFmtId="185" fontId="3" fillId="0" borderId="13" xfId="1" applyNumberFormat="1" applyFont="1" applyFill="1" applyBorder="1" applyAlignment="1"/>
    <xf numFmtId="185" fontId="3" fillId="0" borderId="0" xfId="1" applyNumberFormat="1" applyFont="1" applyFill="1" applyBorder="1" applyAlignment="1"/>
    <xf numFmtId="184" fontId="3" fillId="0" borderId="13" xfId="1" applyNumberFormat="1" applyFont="1" applyFill="1" applyBorder="1" applyAlignment="1"/>
    <xf numFmtId="41" fontId="3" fillId="0" borderId="0" xfId="1" applyFont="1" applyAlignment="1">
      <alignment horizontal="center"/>
    </xf>
    <xf numFmtId="187" fontId="3" fillId="0" borderId="0" xfId="0" applyNumberFormat="1" applyFont="1" applyAlignment="1"/>
    <xf numFmtId="187" fontId="3" fillId="0" borderId="0" xfId="0" applyNumberFormat="1" applyFont="1" applyAlignment="1">
      <alignment horizontal="center"/>
    </xf>
    <xf numFmtId="188" fontId="3" fillId="3" borderId="0" xfId="0" applyNumberFormat="1" applyFont="1" applyFill="1">
      <alignment vertical="center"/>
    </xf>
    <xf numFmtId="37" fontId="7" fillId="0" borderId="11" xfId="0" applyNumberFormat="1" applyFont="1" applyBorder="1">
      <alignment vertical="center"/>
    </xf>
    <xf numFmtId="0" fontId="3" fillId="14" borderId="15" xfId="0" applyFont="1" applyFill="1" applyBorder="1">
      <alignment vertical="center"/>
    </xf>
    <xf numFmtId="2" fontId="3" fillId="14" borderId="0" xfId="0" applyNumberFormat="1" applyFont="1" applyFill="1">
      <alignment vertical="center"/>
    </xf>
    <xf numFmtId="0" fontId="3" fillId="14" borderId="12" xfId="0" applyFont="1" applyFill="1" applyBorder="1" applyAlignment="1">
      <alignment horizontal="center"/>
    </xf>
    <xf numFmtId="37" fontId="9" fillId="0" borderId="0" xfId="0" applyNumberFormat="1" applyFont="1" applyAlignment="1"/>
    <xf numFmtId="0" fontId="3" fillId="3" borderId="0" xfId="0" applyFont="1" applyFill="1" applyAlignment="1"/>
    <xf numFmtId="177" fontId="3" fillId="3" borderId="0" xfId="2" applyNumberFormat="1" applyFont="1" applyFill="1" applyAlignment="1"/>
    <xf numFmtId="0" fontId="3" fillId="3" borderId="13" xfId="0" applyFont="1" applyFill="1" applyBorder="1" applyAlignment="1"/>
    <xf numFmtId="0" fontId="5" fillId="0" borderId="12" xfId="0" applyFont="1" applyBorder="1" applyAlignment="1"/>
    <xf numFmtId="191" fontId="3" fillId="0" borderId="13" xfId="0" applyNumberFormat="1" applyFont="1" applyBorder="1" applyAlignment="1"/>
    <xf numFmtId="0" fontId="3" fillId="11" borderId="4" xfId="0" applyFont="1" applyFill="1" applyBorder="1">
      <alignment vertical="center"/>
    </xf>
    <xf numFmtId="190" fontId="3" fillId="2" borderId="0" xfId="0" applyNumberFormat="1" applyFont="1" applyFill="1">
      <alignment vertical="center"/>
    </xf>
    <xf numFmtId="41" fontId="3" fillId="3" borderId="4" xfId="1" applyFont="1" applyFill="1" applyBorder="1" applyAlignment="1"/>
    <xf numFmtId="41" fontId="3" fillId="3" borderId="5" xfId="1" applyFont="1" applyFill="1" applyBorder="1" applyAlignment="1"/>
    <xf numFmtId="41" fontId="3" fillId="0" borderId="5" xfId="1" applyFont="1" applyFill="1" applyBorder="1" applyAlignment="1"/>
    <xf numFmtId="41" fontId="3" fillId="0" borderId="4" xfId="1" applyFont="1" applyFill="1" applyBorder="1" applyAlignment="1"/>
    <xf numFmtId="184" fontId="3" fillId="0" borderId="0" xfId="1" applyNumberFormat="1" applyFont="1" applyFill="1">
      <alignment vertical="center"/>
    </xf>
    <xf numFmtId="190" fontId="3" fillId="0" borderId="0" xfId="0" applyNumberFormat="1" applyFont="1">
      <alignment vertical="center"/>
    </xf>
    <xf numFmtId="189" fontId="3" fillId="2" borderId="0" xfId="0" applyNumberFormat="1" applyFont="1" applyFill="1">
      <alignment vertical="center"/>
    </xf>
    <xf numFmtId="178" fontId="3" fillId="2" borderId="0" xfId="0" applyNumberFormat="1" applyFont="1" applyFill="1" applyAlignment="1">
      <alignment horizontal="center" vertical="center"/>
    </xf>
    <xf numFmtId="14" fontId="3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89" fontId="3" fillId="0" borderId="0" xfId="0" applyNumberFormat="1" applyFont="1">
      <alignment vertical="center"/>
    </xf>
    <xf numFmtId="178" fontId="3" fillId="0" borderId="0" xfId="0" applyNumberFormat="1" applyFont="1" applyAlignment="1">
      <alignment horizontal="center" vertical="center"/>
    </xf>
    <xf numFmtId="14" fontId="5" fillId="0" borderId="0" xfId="0" applyNumberFormat="1" applyFont="1">
      <alignment vertical="center"/>
    </xf>
    <xf numFmtId="37" fontId="5" fillId="15" borderId="11" xfId="0" applyNumberFormat="1" applyFont="1" applyFill="1" applyBorder="1" applyAlignment="1">
      <alignment horizontal="center" vertical="center"/>
    </xf>
    <xf numFmtId="0" fontId="3" fillId="15" borderId="16" xfId="0" applyFont="1" applyFill="1" applyBorder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16" xfId="0" applyNumberFormat="1" applyFont="1" applyBorder="1" applyAlignment="1">
      <alignment horizontal="center" vertical="center"/>
    </xf>
    <xf numFmtId="37" fontId="8" fillId="9" borderId="19" xfId="0" applyNumberFormat="1" applyFont="1" applyFill="1" applyBorder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F9788-3B93-2546-A06E-AE844EDBD932}">
  <dimension ref="B1:CT63"/>
  <sheetViews>
    <sheetView tabSelected="1" topLeftCell="AF1" zoomScaleNormal="100" workbookViewId="0">
      <selection activeCell="AG25" sqref="AG25"/>
    </sheetView>
  </sheetViews>
  <sheetFormatPr baseColWidth="10" defaultColWidth="3" defaultRowHeight="16"/>
  <cols>
    <col min="1" max="1" width="2.5703125" style="7" bestFit="1" customWidth="1"/>
    <col min="2" max="2" width="8.85546875" style="7" bestFit="1" customWidth="1"/>
    <col min="3" max="5" width="10.85546875" style="7" bestFit="1" customWidth="1"/>
    <col min="6" max="6" width="3.28515625" style="7" customWidth="1"/>
    <col min="7" max="7" width="9.42578125" style="7" bestFit="1" customWidth="1"/>
    <col min="8" max="8" width="4" style="7" bestFit="1" customWidth="1"/>
    <col min="9" max="10" width="7.28515625" style="7" bestFit="1" customWidth="1"/>
    <col min="11" max="11" width="10" style="7" bestFit="1" customWidth="1"/>
    <col min="12" max="12" width="4" style="4" bestFit="1" customWidth="1"/>
    <col min="13" max="13" width="10" style="7" bestFit="1" customWidth="1"/>
    <col min="14" max="14" width="4.7109375" style="7" customWidth="1"/>
    <col min="15" max="15" width="9.42578125" style="7" bestFit="1" customWidth="1"/>
    <col min="16" max="16" width="3.42578125" style="7" customWidth="1"/>
    <col min="17" max="18" width="8.28515625" style="7" bestFit="1" customWidth="1"/>
    <col min="19" max="19" width="9.7109375" style="7" bestFit="1" customWidth="1"/>
    <col min="20" max="20" width="3.7109375" style="7" bestFit="1" customWidth="1"/>
    <col min="21" max="21" width="3.7109375" style="7" customWidth="1"/>
    <col min="22" max="22" width="9.42578125" style="7" bestFit="1" customWidth="1"/>
    <col min="23" max="23" width="3.42578125" style="7" bestFit="1" customWidth="1"/>
    <col min="24" max="24" width="7.85546875" style="7" bestFit="1" customWidth="1"/>
    <col min="25" max="25" width="7.7109375" style="7" bestFit="1" customWidth="1"/>
    <col min="26" max="26" width="9.140625" style="7" bestFit="1" customWidth="1"/>
    <col min="27" max="28" width="3.7109375" style="7" customWidth="1"/>
    <col min="29" max="29" width="9.42578125" style="7" bestFit="1" customWidth="1"/>
    <col min="30" max="30" width="4" style="7" bestFit="1" customWidth="1"/>
    <col min="31" max="32" width="7" style="7" bestFit="1" customWidth="1"/>
    <col min="33" max="33" width="9.7109375" style="7" bestFit="1" customWidth="1"/>
    <col min="34" max="34" width="4.5703125" style="4" bestFit="1" customWidth="1"/>
    <col min="35" max="35" width="3" style="4"/>
    <col min="36" max="36" width="9.42578125" style="7" bestFit="1" customWidth="1"/>
    <col min="37" max="37" width="3.42578125" style="7" bestFit="1" customWidth="1"/>
    <col min="38" max="39" width="7" style="7" bestFit="1" customWidth="1"/>
    <col min="40" max="40" width="9.7109375" style="7" bestFit="1" customWidth="1"/>
    <col min="41" max="41" width="3.42578125" style="4" bestFit="1" customWidth="1"/>
    <col min="42" max="42" width="3" style="4"/>
    <col min="43" max="43" width="9.42578125" style="7" bestFit="1" customWidth="1"/>
    <col min="44" max="44" width="3.85546875" style="7" bestFit="1" customWidth="1"/>
    <col min="45" max="45" width="7.5703125" style="7" bestFit="1" customWidth="1"/>
    <col min="46" max="46" width="7" style="7" bestFit="1" customWidth="1"/>
    <col min="47" max="47" width="10.5703125" style="7" bestFit="1" customWidth="1"/>
    <col min="48" max="48" width="3.7109375" style="7" bestFit="1" customWidth="1"/>
    <col min="49" max="49" width="5.85546875" style="7" bestFit="1" customWidth="1"/>
    <col min="50" max="50" width="3.28515625" style="7" customWidth="1"/>
    <col min="51" max="51" width="9.42578125" style="7" bestFit="1" customWidth="1"/>
    <col min="52" max="52" width="3.42578125" style="7" bestFit="1" customWidth="1"/>
    <col min="53" max="54" width="6.42578125" style="7" bestFit="1" customWidth="1"/>
    <col min="55" max="55" width="10.5703125" style="7" bestFit="1" customWidth="1"/>
    <col min="56" max="56" width="3.7109375" style="4" bestFit="1" customWidth="1"/>
    <col min="57" max="57" width="5.42578125" style="7" bestFit="1" customWidth="1"/>
    <col min="58" max="58" width="9.42578125" style="7" bestFit="1" customWidth="1"/>
    <col min="59" max="59" width="3.42578125" style="7" bestFit="1" customWidth="1"/>
    <col min="60" max="61" width="7.28515625" style="7" bestFit="1" customWidth="1"/>
    <col min="62" max="62" width="10.5703125" style="7" bestFit="1" customWidth="1"/>
    <col min="63" max="63" width="3.7109375" style="4" bestFit="1" customWidth="1"/>
    <col min="64" max="64" width="5.42578125" style="7" bestFit="1" customWidth="1"/>
    <col min="65" max="65" width="9.42578125" style="7" bestFit="1" customWidth="1"/>
    <col min="66" max="66" width="3.42578125" style="7" bestFit="1" customWidth="1"/>
    <col min="67" max="67" width="9.140625" style="7" bestFit="1" customWidth="1"/>
    <col min="68" max="68" width="7" style="7" bestFit="1" customWidth="1"/>
    <col min="69" max="69" width="10.5703125" style="7" bestFit="1" customWidth="1"/>
    <col min="70" max="70" width="3.42578125" style="7" bestFit="1" customWidth="1"/>
    <col min="71" max="71" width="4" style="7" customWidth="1"/>
    <col min="72" max="72" width="9.42578125" style="7" bestFit="1" customWidth="1"/>
    <col min="73" max="73" width="3.42578125" style="7" bestFit="1" customWidth="1"/>
    <col min="74" max="75" width="8.28515625" style="7" bestFit="1" customWidth="1"/>
    <col min="76" max="76" width="9.7109375" style="7" bestFit="1" customWidth="1"/>
    <col min="77" max="77" width="3.42578125" style="7" bestFit="1" customWidth="1"/>
    <col min="78" max="78" width="3" style="7"/>
    <col min="79" max="79" width="9.42578125" style="7" customWidth="1"/>
    <col min="80" max="80" width="5.140625" style="7" customWidth="1"/>
    <col min="81" max="81" width="7" style="7" customWidth="1"/>
    <col min="82" max="82" width="6.140625" style="7" customWidth="1"/>
    <col min="83" max="83" width="9.7109375" style="7" customWidth="1"/>
    <col min="84" max="84" width="3.42578125" style="7" customWidth="1"/>
    <col min="85" max="86" width="5" style="7" customWidth="1"/>
    <col min="87" max="87" width="9.42578125" style="38" bestFit="1" customWidth="1"/>
    <col min="88" max="88" width="8.28515625" style="38" bestFit="1" customWidth="1"/>
    <col min="89" max="89" width="8.7109375" style="38" bestFit="1" customWidth="1"/>
    <col min="90" max="90" width="8.28515625" style="38" customWidth="1"/>
    <col min="91" max="91" width="10" style="38" bestFit="1" customWidth="1"/>
    <col min="92" max="92" width="8.28515625" style="38" customWidth="1"/>
    <col min="93" max="93" width="5" style="38" bestFit="1" customWidth="1"/>
    <col min="94" max="94" width="3" style="38"/>
    <col min="95" max="95" width="9.5703125" style="38" bestFit="1" customWidth="1"/>
    <col min="96" max="96" width="10.85546875" style="38" bestFit="1" customWidth="1"/>
    <col min="97" max="97" width="7.7109375" style="38" bestFit="1" customWidth="1"/>
    <col min="98" max="16384" width="3" style="7"/>
  </cols>
  <sheetData>
    <row r="1" spans="2:98" ht="17" thickBot="1">
      <c r="J1" s="11"/>
      <c r="S1" s="17"/>
      <c r="AF1" s="16"/>
      <c r="AM1" s="16"/>
    </row>
    <row r="2" spans="2:98" ht="17" thickBot="1">
      <c r="B2" s="6"/>
      <c r="C2" s="76">
        <v>46082</v>
      </c>
      <c r="G2" s="97" t="s">
        <v>3</v>
      </c>
      <c r="J2" s="8">
        <v>1437.3</v>
      </c>
      <c r="O2" s="97" t="s">
        <v>4</v>
      </c>
      <c r="R2" s="10">
        <v>6415.5</v>
      </c>
      <c r="S2" s="17">
        <f>1/R2*1000000</f>
        <v>155.87249629802821</v>
      </c>
      <c r="V2" s="97" t="s">
        <v>116</v>
      </c>
      <c r="Y2" s="148">
        <v>1.1661999999999999</v>
      </c>
      <c r="Z2" s="17"/>
      <c r="AC2" s="97" t="s">
        <v>127</v>
      </c>
      <c r="AF2" s="9">
        <v>105.54</v>
      </c>
      <c r="AG2" s="11"/>
      <c r="AJ2" s="97" t="s">
        <v>5</v>
      </c>
      <c r="AM2" s="9">
        <v>112.85</v>
      </c>
      <c r="AN2" s="11"/>
      <c r="AQ2" s="97" t="s">
        <v>6</v>
      </c>
      <c r="AR2" s="4" t="s">
        <v>7</v>
      </c>
      <c r="AT2" s="9">
        <v>113.29</v>
      </c>
      <c r="AV2" s="4"/>
      <c r="AW2" s="4"/>
      <c r="AY2" s="97" t="s">
        <v>0</v>
      </c>
      <c r="BB2" s="8">
        <v>559.4</v>
      </c>
      <c r="BF2" s="97" t="s">
        <v>128</v>
      </c>
      <c r="BI2" s="8">
        <v>2127.1</v>
      </c>
      <c r="BM2" s="97" t="s">
        <v>1</v>
      </c>
      <c r="BN2" s="4"/>
      <c r="BO2" s="4"/>
      <c r="BP2" s="51">
        <v>24952.5</v>
      </c>
      <c r="BQ2" s="151">
        <f>J2</f>
        <v>1437.3</v>
      </c>
      <c r="BR2" s="4"/>
      <c r="BS2" s="4"/>
      <c r="BT2" s="97" t="s">
        <v>2</v>
      </c>
      <c r="BU2" s="4"/>
      <c r="BV2" s="4"/>
      <c r="BW2" s="9">
        <v>6875.5</v>
      </c>
      <c r="BY2" s="4"/>
      <c r="CA2" s="97" t="s">
        <v>129</v>
      </c>
      <c r="CD2" s="9">
        <v>67.290000000000006</v>
      </c>
      <c r="CF2" s="4"/>
      <c r="CG2" s="4"/>
      <c r="CH2" s="4"/>
      <c r="CI2" s="97" t="s">
        <v>9</v>
      </c>
      <c r="CK2" s="16"/>
      <c r="CL2" s="9">
        <v>5296.9</v>
      </c>
      <c r="CM2" s="16"/>
      <c r="CN2" s="16"/>
      <c r="CQ2" s="109" t="s">
        <v>80</v>
      </c>
      <c r="CR2" s="53">
        <v>91167</v>
      </c>
      <c r="CS2" s="54"/>
    </row>
    <row r="3" spans="2:98" s="4" customFormat="1">
      <c r="B3" s="7"/>
      <c r="C3" s="7"/>
      <c r="D3" s="7"/>
      <c r="G3" s="4" t="s">
        <v>10</v>
      </c>
      <c r="H3" s="4" t="s">
        <v>11</v>
      </c>
      <c r="I3" s="4" t="s">
        <v>12</v>
      </c>
      <c r="J3" s="4" t="s">
        <v>13</v>
      </c>
      <c r="K3" s="4" t="s">
        <v>14</v>
      </c>
      <c r="L3" s="4" t="s">
        <v>15</v>
      </c>
      <c r="O3" s="4" t="s">
        <v>10</v>
      </c>
      <c r="P3" s="4" t="s">
        <v>11</v>
      </c>
      <c r="Q3" s="4" t="s">
        <v>12</v>
      </c>
      <c r="R3" s="4" t="s">
        <v>13</v>
      </c>
      <c r="S3" s="4" t="s">
        <v>14</v>
      </c>
      <c r="T3" s="13" t="s">
        <v>15</v>
      </c>
      <c r="U3" s="7"/>
      <c r="V3" s="4" t="s">
        <v>10</v>
      </c>
      <c r="W3" s="4" t="s">
        <v>11</v>
      </c>
      <c r="X3" s="4" t="s">
        <v>12</v>
      </c>
      <c r="Y3" s="4" t="s">
        <v>13</v>
      </c>
      <c r="Z3" s="4" t="s">
        <v>14</v>
      </c>
      <c r="AA3" s="13" t="s">
        <v>15</v>
      </c>
      <c r="AB3" s="7"/>
      <c r="AC3" s="4" t="s">
        <v>10</v>
      </c>
      <c r="AD3" s="4" t="s">
        <v>11</v>
      </c>
      <c r="AE3" s="4" t="s">
        <v>12</v>
      </c>
      <c r="AF3" s="4" t="s">
        <v>13</v>
      </c>
      <c r="AG3" s="4" t="s">
        <v>14</v>
      </c>
      <c r="AH3" s="4" t="s">
        <v>15</v>
      </c>
      <c r="AJ3" s="4" t="s">
        <v>10</v>
      </c>
      <c r="AK3" s="4" t="s">
        <v>11</v>
      </c>
      <c r="AL3" s="4" t="s">
        <v>12</v>
      </c>
      <c r="AM3" s="4" t="s">
        <v>13</v>
      </c>
      <c r="AN3" s="4" t="s">
        <v>14</v>
      </c>
      <c r="AO3" s="4" t="s">
        <v>15</v>
      </c>
      <c r="AQ3" s="4" t="s">
        <v>10</v>
      </c>
      <c r="AR3" s="4" t="s">
        <v>11</v>
      </c>
      <c r="AS3" s="4" t="s">
        <v>12</v>
      </c>
      <c r="AT3" s="4" t="s">
        <v>13</v>
      </c>
      <c r="AU3" s="4" t="s">
        <v>14</v>
      </c>
      <c r="AV3" s="4" t="s">
        <v>15</v>
      </c>
      <c r="AW3" s="4" t="s">
        <v>68</v>
      </c>
      <c r="AY3" s="4" t="s">
        <v>10</v>
      </c>
      <c r="AZ3" s="4" t="s">
        <v>11</v>
      </c>
      <c r="BA3" s="4" t="s">
        <v>12</v>
      </c>
      <c r="BB3" s="4" t="s">
        <v>13</v>
      </c>
      <c r="BC3" s="4" t="s">
        <v>14</v>
      </c>
      <c r="BD3" s="4" t="s">
        <v>15</v>
      </c>
      <c r="BF3" s="4" t="s">
        <v>10</v>
      </c>
      <c r="BG3" s="4" t="s">
        <v>11</v>
      </c>
      <c r="BH3" s="4" t="s">
        <v>12</v>
      </c>
      <c r="BI3" s="4" t="s">
        <v>13</v>
      </c>
      <c r="BJ3" s="4" t="s">
        <v>14</v>
      </c>
      <c r="BK3" s="4" t="s">
        <v>15</v>
      </c>
      <c r="BM3" s="4" t="s">
        <v>10</v>
      </c>
      <c r="BN3" s="4" t="s">
        <v>11</v>
      </c>
      <c r="BO3" s="4" t="s">
        <v>12</v>
      </c>
      <c r="BP3" s="12" t="s">
        <v>16</v>
      </c>
      <c r="BQ3" s="4" t="s">
        <v>14</v>
      </c>
      <c r="BR3" s="4" t="s">
        <v>15</v>
      </c>
      <c r="BT3" s="4" t="s">
        <v>10</v>
      </c>
      <c r="BU3" s="4" t="s">
        <v>11</v>
      </c>
      <c r="BV3" s="4" t="s">
        <v>12</v>
      </c>
      <c r="BW3" s="4" t="s">
        <v>13</v>
      </c>
      <c r="BX3" s="4" t="s">
        <v>14</v>
      </c>
      <c r="BY3" s="4" t="s">
        <v>15</v>
      </c>
      <c r="CA3" s="4" t="s">
        <v>10</v>
      </c>
      <c r="CB3" s="4" t="s">
        <v>11</v>
      </c>
      <c r="CC3" s="4" t="s">
        <v>12</v>
      </c>
      <c r="CD3" s="4" t="s">
        <v>13</v>
      </c>
      <c r="CE3" s="4" t="s">
        <v>14</v>
      </c>
      <c r="CF3" s="4" t="s">
        <v>15</v>
      </c>
      <c r="CI3" s="4" t="s">
        <v>10</v>
      </c>
      <c r="CJ3" s="4" t="s">
        <v>11</v>
      </c>
      <c r="CK3" s="4" t="s">
        <v>12</v>
      </c>
      <c r="CL3" s="4" t="s">
        <v>13</v>
      </c>
      <c r="CM3" s="4" t="s">
        <v>14</v>
      </c>
      <c r="CN3" s="4" t="s">
        <v>15</v>
      </c>
      <c r="CQ3" s="63">
        <v>45730</v>
      </c>
      <c r="CR3" s="66"/>
      <c r="CS3" s="78"/>
    </row>
    <row r="4" spans="2:98" s="38" customFormat="1">
      <c r="B4" s="7"/>
      <c r="C4" s="7"/>
      <c r="D4" s="7"/>
      <c r="G4" s="70">
        <v>46063</v>
      </c>
      <c r="H4" s="71">
        <v>45</v>
      </c>
      <c r="I4" s="72">
        <v>1447.6</v>
      </c>
      <c r="J4" s="45">
        <f>$J$2</f>
        <v>1437.3</v>
      </c>
      <c r="K4" s="46">
        <f>10000*H4*(J4-I4)</f>
        <v>-4634999.9999999795</v>
      </c>
      <c r="L4" s="47">
        <f>H4</f>
        <v>45</v>
      </c>
      <c r="M4" s="7"/>
      <c r="N4" s="7"/>
      <c r="O4" s="92">
        <v>0</v>
      </c>
      <c r="P4" s="93">
        <v>0</v>
      </c>
      <c r="Q4" s="94">
        <v>6971</v>
      </c>
      <c r="R4" s="94">
        <f>R2</f>
        <v>6415.5</v>
      </c>
      <c r="S4" s="95">
        <f>12.5*P4*(R4-Q4)*$BQ$2</f>
        <v>0</v>
      </c>
      <c r="T4" s="96">
        <f>P4</f>
        <v>0</v>
      </c>
      <c r="U4" s="7"/>
      <c r="V4" s="43">
        <v>0</v>
      </c>
      <c r="W4" s="44">
        <v>0</v>
      </c>
      <c r="X4" s="160">
        <v>1.1628499999999999</v>
      </c>
      <c r="Y4" s="160">
        <f>Y2</f>
        <v>1.1661999999999999</v>
      </c>
      <c r="Z4" s="46">
        <f>125000*W4*(Y4-X4)*$BQ$2</f>
        <v>0</v>
      </c>
      <c r="AA4" s="47">
        <f>W4</f>
        <v>0</v>
      </c>
      <c r="AB4" s="7"/>
      <c r="AC4" s="43">
        <v>46073</v>
      </c>
      <c r="AD4" s="44">
        <v>-5</v>
      </c>
      <c r="AE4" s="49">
        <v>105.41</v>
      </c>
      <c r="AF4" s="49">
        <f>$AF$2</f>
        <v>105.54</v>
      </c>
      <c r="AG4" s="46">
        <f>1000000*(AE4-AF4)*-AD4</f>
        <v>-650000.00000004831</v>
      </c>
      <c r="AH4" s="47">
        <f>AD4</f>
        <v>-5</v>
      </c>
      <c r="AI4" s="4"/>
      <c r="AJ4" s="43">
        <v>46073</v>
      </c>
      <c r="AK4" s="44">
        <v>-1</v>
      </c>
      <c r="AL4" s="49">
        <v>111.89</v>
      </c>
      <c r="AM4" s="49">
        <f>AM2</f>
        <v>112.85</v>
      </c>
      <c r="AN4" s="46">
        <f>1000000*(AL4-AM4)*-AK4</f>
        <v>-959999.99999999371</v>
      </c>
      <c r="AO4" s="47">
        <f>AK4</f>
        <v>-1</v>
      </c>
      <c r="AP4" s="4"/>
      <c r="AQ4" s="43">
        <v>46076</v>
      </c>
      <c r="AR4" s="44">
        <v>-1</v>
      </c>
      <c r="AS4" s="49">
        <v>112.3075</v>
      </c>
      <c r="AT4" s="49">
        <f>$AT$2</f>
        <v>113.29</v>
      </c>
      <c r="AU4" s="46">
        <f t="shared" ref="AU4" si="0">1000*AR4*(AT4-AS4)*$BQ$2</f>
        <v>-1412147.2500000023</v>
      </c>
      <c r="AV4" s="47">
        <f>AR4</f>
        <v>-1</v>
      </c>
      <c r="AW4" s="48">
        <f t="shared" ref="AW4" si="1">($AT$2-AS4)/AS4</f>
        <v>8.7483026512031846E-3</v>
      </c>
      <c r="AY4" s="87">
        <v>45812</v>
      </c>
      <c r="AZ4" s="88">
        <v>0</v>
      </c>
      <c r="BA4" s="89">
        <v>370.2</v>
      </c>
      <c r="BB4" s="89">
        <f>BB2</f>
        <v>559.4</v>
      </c>
      <c r="BC4" s="90">
        <f>250000*AZ4*(BB4-BA4)</f>
        <v>0</v>
      </c>
      <c r="BD4" s="91">
        <f>AZ4</f>
        <v>0</v>
      </c>
      <c r="BE4" s="7"/>
      <c r="BF4" s="87">
        <v>46073</v>
      </c>
      <c r="BG4" s="88">
        <v>2</v>
      </c>
      <c r="BH4" s="89">
        <v>2025.1</v>
      </c>
      <c r="BI4" s="89">
        <f>BI2</f>
        <v>2127.1</v>
      </c>
      <c r="BJ4" s="90">
        <f>10000*BG4*(BI4-BH4)</f>
        <v>2040000</v>
      </c>
      <c r="BK4" s="91">
        <f>BG4</f>
        <v>2</v>
      </c>
      <c r="BL4" s="7"/>
      <c r="BM4" s="43">
        <v>46074</v>
      </c>
      <c r="BN4" s="44">
        <v>2</v>
      </c>
      <c r="BO4" s="49">
        <v>25144.5</v>
      </c>
      <c r="BP4" s="46">
        <f>BP2</f>
        <v>24952.5</v>
      </c>
      <c r="BQ4" s="46">
        <f t="shared" ref="BQ4" si="2">2*$BQ$2*(BP4-BO4)*BN4</f>
        <v>-1103846.3999999999</v>
      </c>
      <c r="BR4" s="47">
        <f>BN4</f>
        <v>2</v>
      </c>
      <c r="BS4" s="4"/>
      <c r="BT4" s="43">
        <v>46074</v>
      </c>
      <c r="BU4" s="44">
        <v>4</v>
      </c>
      <c r="BV4" s="49">
        <v>6950.25</v>
      </c>
      <c r="BW4" s="49">
        <f>BW2</f>
        <v>6875.5</v>
      </c>
      <c r="BX4" s="46">
        <f t="shared" ref="BX4" si="3">5*$BQ$2*(BW4-BV4)*BU4</f>
        <v>-2148763.5</v>
      </c>
      <c r="BY4" s="47">
        <f>BU4</f>
        <v>4</v>
      </c>
      <c r="BZ4" s="7"/>
      <c r="CA4" s="43">
        <v>46076</v>
      </c>
      <c r="CB4" s="44">
        <v>-1</v>
      </c>
      <c r="CC4" s="167">
        <v>65.98</v>
      </c>
      <c r="CD4" s="49">
        <f>CD2</f>
        <v>67.290000000000006</v>
      </c>
      <c r="CE4" s="46">
        <f>1000*$J$2*(CD4-CC4)*CB4</f>
        <v>-1882863.0000000033</v>
      </c>
      <c r="CF4" s="168">
        <f>CB4</f>
        <v>-1</v>
      </c>
      <c r="CG4" s="44" t="s">
        <v>118</v>
      </c>
      <c r="CH4" s="7"/>
      <c r="CI4" s="43">
        <v>46056</v>
      </c>
      <c r="CJ4" s="44">
        <v>1</v>
      </c>
      <c r="CK4" s="167">
        <v>4715.7</v>
      </c>
      <c r="CL4" s="49">
        <f>CL2</f>
        <v>5296.9</v>
      </c>
      <c r="CM4" s="46">
        <f>10*$J$2*(CL4-CK4)*CJ4</f>
        <v>8353587.5999999978</v>
      </c>
      <c r="CN4" s="168">
        <f>CJ4</f>
        <v>1</v>
      </c>
      <c r="CO4" s="7"/>
      <c r="CP4" s="7"/>
      <c r="CQ4" s="55"/>
      <c r="CR4" s="15">
        <f>CR2*J2</f>
        <v>131034329.09999999</v>
      </c>
      <c r="CS4" s="56">
        <f>(CR5-CR4)/CR5</f>
        <v>3.9464520077995613E-2</v>
      </c>
      <c r="CT4" s="7"/>
    </row>
    <row r="5" spans="2:98" ht="17" thickBot="1">
      <c r="B5" s="97" t="s">
        <v>17</v>
      </c>
      <c r="G5" s="14">
        <v>46078</v>
      </c>
      <c r="H5" s="7">
        <v>30</v>
      </c>
      <c r="I5" s="11">
        <v>1434.4</v>
      </c>
      <c r="J5" s="45">
        <f>$J$2</f>
        <v>1437.3</v>
      </c>
      <c r="K5" s="46">
        <f>10000*H5*(J5-I5)</f>
        <v>869999.99999995902</v>
      </c>
      <c r="L5" s="47">
        <f>H5</f>
        <v>30</v>
      </c>
      <c r="M5" s="15"/>
      <c r="N5" s="15"/>
      <c r="O5" s="14"/>
      <c r="Q5" s="16"/>
      <c r="R5" s="16"/>
      <c r="S5" s="15"/>
      <c r="T5" s="13"/>
      <c r="V5" s="14"/>
      <c r="X5" s="166"/>
      <c r="Y5" s="166"/>
      <c r="Z5" s="15"/>
      <c r="AA5" s="13"/>
      <c r="AC5" s="14">
        <v>46079</v>
      </c>
      <c r="AD5" s="7">
        <v>5</v>
      </c>
      <c r="AE5" s="16">
        <v>105.51</v>
      </c>
      <c r="AF5" s="49">
        <f>$AF$2</f>
        <v>105.54</v>
      </c>
      <c r="AG5" s="46">
        <f>1000000*(AE5-AF5)*-AD5</f>
        <v>150000.00000000568</v>
      </c>
      <c r="AH5" s="47">
        <f>AD5</f>
        <v>5</v>
      </c>
      <c r="AJ5" s="14">
        <v>46079</v>
      </c>
      <c r="AK5" s="7">
        <v>1</v>
      </c>
      <c r="AL5" s="16">
        <v>112.43</v>
      </c>
      <c r="AM5" s="16">
        <f>AM4</f>
        <v>112.85</v>
      </c>
      <c r="AN5" s="15">
        <f>AN4</f>
        <v>-959999.99999999371</v>
      </c>
      <c r="AO5" s="47">
        <f>AK5</f>
        <v>1</v>
      </c>
      <c r="AQ5" s="43">
        <v>46080</v>
      </c>
      <c r="AR5" s="7">
        <v>-1</v>
      </c>
      <c r="AS5" s="16">
        <v>113.15</v>
      </c>
      <c r="AT5" s="49">
        <f>$AT$2</f>
        <v>113.29</v>
      </c>
      <c r="AU5" s="46">
        <f t="shared" ref="AU5" si="4">1000*AR5*(AT5-AS5)*$BQ$2</f>
        <v>-201222.00000000081</v>
      </c>
      <c r="AV5" s="47">
        <f>AR5</f>
        <v>-1</v>
      </c>
      <c r="AW5" s="48">
        <f t="shared" ref="AW5" si="5">($AT$2-AS5)/AS5</f>
        <v>1.237295625276187E-3</v>
      </c>
      <c r="AY5" s="14"/>
      <c r="BA5" s="11"/>
      <c r="BB5" s="11"/>
      <c r="BC5" s="15"/>
      <c r="BD5" s="13"/>
      <c r="BF5" s="14"/>
      <c r="BH5" s="11"/>
      <c r="BI5" s="11"/>
      <c r="BJ5" s="15"/>
      <c r="BK5" s="13"/>
      <c r="BM5" s="14"/>
      <c r="BO5" s="16"/>
      <c r="BP5" s="15"/>
      <c r="BQ5" s="15"/>
      <c r="BR5" s="13"/>
      <c r="BS5" s="4"/>
      <c r="BT5" s="14"/>
      <c r="BV5" s="16"/>
      <c r="BW5" s="16"/>
      <c r="BX5" s="15"/>
      <c r="BY5" s="13"/>
      <c r="CA5" s="14"/>
      <c r="CC5" s="172"/>
      <c r="CD5" s="16"/>
      <c r="CE5" s="15"/>
      <c r="CF5" s="173"/>
      <c r="CQ5" s="67"/>
      <c r="CR5" s="68">
        <v>136418000</v>
      </c>
      <c r="CS5" s="60"/>
    </row>
    <row r="6" spans="2:98" ht="17" thickBot="1">
      <c r="B6" s="4"/>
      <c r="C6" s="15"/>
      <c r="D6" s="15"/>
      <c r="G6" s="14"/>
      <c r="I6" s="11"/>
      <c r="J6" s="11"/>
      <c r="K6" s="15"/>
      <c r="L6" s="13"/>
      <c r="O6" s="14"/>
      <c r="Q6" s="16"/>
      <c r="R6" s="16"/>
      <c r="S6" s="15"/>
      <c r="T6" s="13"/>
      <c r="U6" s="13"/>
      <c r="V6" s="14"/>
      <c r="X6" s="166"/>
      <c r="Y6" s="166"/>
      <c r="Z6" s="15"/>
      <c r="AA6" s="13"/>
      <c r="AB6" s="13"/>
      <c r="AC6" s="14">
        <v>46080</v>
      </c>
      <c r="AD6" s="7">
        <v>-10</v>
      </c>
      <c r="AE6" s="16">
        <v>105.52</v>
      </c>
      <c r="AF6" s="49">
        <f>$AF$2</f>
        <v>105.54</v>
      </c>
      <c r="AG6" s="46">
        <f>1000000*(AE6-AF6)*-AD6</f>
        <v>-200000.0000001023</v>
      </c>
      <c r="AH6" s="47">
        <f>AD6</f>
        <v>-10</v>
      </c>
      <c r="AI6" s="13"/>
      <c r="AJ6" s="14">
        <v>46080</v>
      </c>
      <c r="AK6" s="7">
        <v>-2</v>
      </c>
      <c r="AL6" s="16">
        <v>112.83</v>
      </c>
      <c r="AM6" s="16">
        <f>AM5</f>
        <v>112.85</v>
      </c>
      <c r="AN6" s="15">
        <f>AN5</f>
        <v>-959999.99999999371</v>
      </c>
      <c r="AO6" s="47">
        <f>AK6</f>
        <v>-2</v>
      </c>
      <c r="AP6" s="13"/>
      <c r="AQ6" s="169"/>
      <c r="AS6" s="16"/>
      <c r="AT6" s="16"/>
      <c r="AU6" s="15"/>
      <c r="AV6" s="13"/>
      <c r="AW6" s="50"/>
      <c r="AY6" s="14"/>
      <c r="BA6" s="11"/>
      <c r="BB6" s="11"/>
      <c r="BC6" s="15"/>
      <c r="BD6" s="13"/>
      <c r="BF6" s="14"/>
      <c r="BH6" s="11"/>
      <c r="BI6" s="11"/>
      <c r="BJ6" s="15"/>
      <c r="BK6" s="13"/>
      <c r="BM6" s="14"/>
      <c r="BO6" s="16"/>
      <c r="BP6" s="15"/>
      <c r="BQ6" s="15"/>
      <c r="BR6" s="13"/>
      <c r="BT6" s="14"/>
      <c r="BV6" s="16"/>
      <c r="BW6" s="16"/>
      <c r="BX6" s="15"/>
      <c r="BY6" s="13"/>
      <c r="CA6" s="14"/>
      <c r="CC6" s="172"/>
      <c r="CD6" s="16"/>
      <c r="CE6" s="15"/>
      <c r="CF6" s="173"/>
      <c r="CQ6" s="79"/>
      <c r="CR6" s="64"/>
      <c r="CS6" s="77"/>
    </row>
    <row r="7" spans="2:98" ht="19" thickBot="1">
      <c r="B7" s="176">
        <v>2026</v>
      </c>
      <c r="C7" s="175" t="s">
        <v>133</v>
      </c>
      <c r="D7" s="175" t="s">
        <v>134</v>
      </c>
      <c r="G7" s="14"/>
      <c r="I7" s="11"/>
      <c r="J7" s="11"/>
      <c r="K7" s="15"/>
      <c r="L7" s="13"/>
      <c r="O7" s="14"/>
      <c r="Q7" s="16"/>
      <c r="R7" s="16"/>
      <c r="S7" s="15"/>
      <c r="T7" s="13"/>
      <c r="V7" s="14"/>
      <c r="X7" s="166"/>
      <c r="Y7" s="166"/>
      <c r="Z7" s="15"/>
      <c r="AA7" s="13"/>
      <c r="AC7" s="14"/>
      <c r="AE7" s="16"/>
      <c r="AF7" s="16"/>
      <c r="AG7" s="15"/>
      <c r="AH7" s="13"/>
      <c r="AI7" s="13"/>
      <c r="AJ7" s="14"/>
      <c r="AL7" s="16"/>
      <c r="AM7" s="16"/>
      <c r="AN7" s="15"/>
      <c r="AO7" s="13"/>
      <c r="AP7" s="13"/>
      <c r="AQ7" s="14"/>
      <c r="AS7" s="16"/>
      <c r="AT7" s="16"/>
      <c r="AU7" s="15"/>
      <c r="AV7" s="13"/>
      <c r="AW7" s="50"/>
      <c r="AY7" s="14"/>
      <c r="BA7" s="11"/>
      <c r="BB7" s="11"/>
      <c r="BC7" s="15"/>
      <c r="BD7" s="171"/>
      <c r="BF7" s="14"/>
      <c r="BH7" s="11"/>
      <c r="BI7" s="11"/>
      <c r="BJ7" s="15"/>
      <c r="BK7" s="171"/>
      <c r="BM7" s="14"/>
      <c r="BO7" s="16"/>
      <c r="BP7" s="15"/>
      <c r="BQ7" s="15"/>
      <c r="BR7" s="13"/>
      <c r="BT7" s="14"/>
      <c r="BV7" s="16"/>
      <c r="BW7" s="16"/>
      <c r="BX7" s="15"/>
      <c r="BY7" s="13"/>
      <c r="CQ7" s="61" t="s">
        <v>81</v>
      </c>
      <c r="CR7" s="15">
        <v>19989006</v>
      </c>
      <c r="CS7" s="57"/>
    </row>
    <row r="8" spans="2:98" ht="18">
      <c r="B8" s="177" t="s">
        <v>123</v>
      </c>
      <c r="C8" s="82">
        <v>-3700254.5500001572</v>
      </c>
      <c r="D8" s="82">
        <f>C8</f>
        <v>-3700254.5500001572</v>
      </c>
      <c r="G8" s="14"/>
      <c r="I8" s="11"/>
      <c r="J8" s="11"/>
      <c r="K8" s="15"/>
      <c r="L8" s="13"/>
      <c r="M8" s="15"/>
      <c r="N8" s="15"/>
      <c r="O8" s="14"/>
      <c r="R8" s="17"/>
      <c r="V8" s="14"/>
      <c r="X8" s="166"/>
      <c r="Y8" s="166"/>
      <c r="Z8" s="15"/>
      <c r="AA8" s="13"/>
      <c r="AC8" s="14"/>
      <c r="AE8" s="16"/>
      <c r="AF8" s="16"/>
      <c r="AG8" s="15"/>
      <c r="AH8" s="13"/>
      <c r="AI8" s="13"/>
      <c r="AJ8" s="14"/>
      <c r="AL8" s="16"/>
      <c r="AM8" s="16"/>
      <c r="AN8" s="15"/>
      <c r="AO8" s="13"/>
      <c r="AP8" s="13"/>
      <c r="AQ8" s="14"/>
      <c r="AS8" s="16"/>
      <c r="AT8" s="16"/>
      <c r="AU8" s="15"/>
      <c r="AV8" s="13"/>
      <c r="AW8" s="50"/>
      <c r="BC8" s="15"/>
      <c r="BD8" s="13"/>
      <c r="BJ8" s="15"/>
      <c r="BK8" s="13"/>
      <c r="BM8" s="14"/>
      <c r="BO8" s="16"/>
      <c r="BP8" s="15"/>
      <c r="BQ8" s="15"/>
      <c r="BR8" s="13"/>
      <c r="BT8" s="14"/>
      <c r="BV8" s="16"/>
      <c r="BW8" s="16"/>
      <c r="BX8" s="15"/>
      <c r="BY8" s="13"/>
      <c r="CQ8" s="61" t="s">
        <v>82</v>
      </c>
      <c r="CR8" s="15">
        <v>121258180</v>
      </c>
      <c r="CS8" s="58">
        <f>(CR5-CR8)/CR8</f>
        <v>0.12502100889193621</v>
      </c>
    </row>
    <row r="9" spans="2:98" ht="17" thickBot="1">
      <c r="B9" s="177" t="s">
        <v>124</v>
      </c>
      <c r="C9" s="82">
        <f>D9-D8</f>
        <v>0</v>
      </c>
      <c r="D9" s="82">
        <f>C23</f>
        <v>-3700254.5500001572</v>
      </c>
      <c r="G9" s="169"/>
      <c r="I9" s="11"/>
      <c r="J9" s="11"/>
      <c r="K9" s="15"/>
      <c r="O9" s="14"/>
      <c r="R9" s="17"/>
      <c r="V9" s="14"/>
      <c r="X9" s="166"/>
      <c r="Y9" s="166"/>
      <c r="Z9" s="15"/>
      <c r="AA9" s="13"/>
      <c r="AC9" s="14"/>
      <c r="AE9" s="16"/>
      <c r="AF9" s="16"/>
      <c r="AG9" s="15"/>
      <c r="AH9" s="13"/>
      <c r="AI9" s="13"/>
      <c r="AJ9" s="14"/>
      <c r="AL9" s="16"/>
      <c r="AM9" s="16"/>
      <c r="AN9" s="15"/>
      <c r="AO9" s="13"/>
      <c r="AP9" s="13"/>
      <c r="AQ9" s="14"/>
      <c r="AS9" s="16"/>
      <c r="AT9" s="16"/>
      <c r="AU9" s="15"/>
      <c r="AV9" s="13"/>
      <c r="AW9" s="50"/>
      <c r="BC9" s="15"/>
      <c r="BD9" s="13"/>
      <c r="BJ9" s="15"/>
      <c r="BK9" s="13"/>
      <c r="BM9" s="14"/>
      <c r="BO9" s="16"/>
      <c r="BP9" s="15"/>
      <c r="BQ9" s="15"/>
      <c r="BR9" s="13"/>
      <c r="BT9" s="14"/>
      <c r="BV9" s="16"/>
      <c r="BW9" s="16"/>
      <c r="BX9" s="15"/>
      <c r="BY9" s="13"/>
      <c r="CQ9" s="62" t="s">
        <v>14</v>
      </c>
      <c r="CR9" s="59">
        <f>CR7*CS8</f>
        <v>2499045.6968669663</v>
      </c>
      <c r="CS9" s="60"/>
    </row>
    <row r="10" spans="2:98" ht="17" thickBot="1">
      <c r="B10" s="177" t="s">
        <v>125</v>
      </c>
      <c r="C10" s="82"/>
      <c r="D10" s="82"/>
      <c r="G10" s="169"/>
      <c r="I10" s="11"/>
      <c r="J10" s="11"/>
      <c r="K10" s="15"/>
      <c r="O10" s="14"/>
      <c r="R10" s="17"/>
      <c r="V10" s="14"/>
      <c r="X10" s="166"/>
      <c r="Y10" s="166"/>
      <c r="Z10" s="15"/>
      <c r="AA10" s="13"/>
      <c r="AC10" s="14"/>
      <c r="AE10" s="16"/>
      <c r="AF10" s="16"/>
      <c r="AG10" s="15"/>
      <c r="AH10" s="13"/>
      <c r="AI10" s="13"/>
      <c r="AJ10" s="14"/>
      <c r="AL10" s="16"/>
      <c r="AM10" s="16"/>
      <c r="AN10" s="15"/>
      <c r="AO10" s="13"/>
      <c r="AP10" s="13"/>
      <c r="AQ10" s="14"/>
      <c r="AS10" s="16"/>
      <c r="AT10" s="16"/>
      <c r="AU10" s="15"/>
      <c r="AV10" s="13"/>
      <c r="AW10" s="50"/>
      <c r="BC10" s="15"/>
      <c r="BD10" s="13"/>
      <c r="BJ10" s="15"/>
      <c r="BK10" s="13"/>
      <c r="BM10" s="14"/>
      <c r="BO10" s="16"/>
      <c r="BP10" s="15"/>
      <c r="BQ10" s="15"/>
      <c r="BR10" s="13"/>
      <c r="BT10" s="14"/>
      <c r="BX10" s="15"/>
      <c r="BY10" s="4"/>
    </row>
    <row r="11" spans="2:98">
      <c r="B11" s="177" t="s">
        <v>126</v>
      </c>
      <c r="C11" s="82"/>
      <c r="D11" s="82"/>
      <c r="G11" s="169"/>
      <c r="I11" s="11"/>
      <c r="J11" s="11"/>
      <c r="K11" s="15"/>
      <c r="O11" s="14"/>
      <c r="R11" s="17"/>
      <c r="V11" s="14"/>
      <c r="X11" s="166"/>
      <c r="Y11" s="166"/>
      <c r="Z11" s="15"/>
      <c r="AA11" s="13"/>
      <c r="AC11" s="14"/>
      <c r="AI11" s="13"/>
      <c r="AJ11" s="14"/>
      <c r="AP11" s="13"/>
      <c r="AQ11" s="14"/>
      <c r="AS11" s="16"/>
      <c r="AT11" s="16"/>
      <c r="AU11" s="15"/>
      <c r="AV11" s="13"/>
      <c r="AW11" s="50"/>
      <c r="BC11" s="15"/>
      <c r="BD11" s="13"/>
      <c r="BJ11" s="15"/>
      <c r="BK11" s="13"/>
      <c r="BM11" s="14"/>
      <c r="BQ11" s="15"/>
      <c r="BR11" s="13"/>
      <c r="BT11" s="14"/>
      <c r="BW11" s="16"/>
      <c r="BX11" s="15"/>
      <c r="BY11" s="4"/>
      <c r="CQ11" s="110" t="s">
        <v>85</v>
      </c>
      <c r="CR11" s="64">
        <f>CR8*2/J2</f>
        <v>168730.50859249983</v>
      </c>
      <c r="CS11" s="111">
        <v>1</v>
      </c>
    </row>
    <row r="12" spans="2:98" ht="17" thickBot="1">
      <c r="B12" s="178" t="s">
        <v>93</v>
      </c>
      <c r="C12" s="105">
        <f>D9-D8</f>
        <v>0</v>
      </c>
      <c r="D12" s="105"/>
      <c r="G12" s="169"/>
      <c r="I12" s="11"/>
      <c r="J12" s="11"/>
      <c r="K12" s="15"/>
      <c r="M12" s="15"/>
      <c r="N12" s="15"/>
      <c r="O12" s="14"/>
      <c r="R12" s="17"/>
      <c r="V12" s="14"/>
      <c r="X12" s="166"/>
      <c r="Y12" s="166"/>
      <c r="Z12" s="15"/>
      <c r="AA12" s="13"/>
      <c r="AC12" s="14"/>
      <c r="AI12" s="13"/>
      <c r="AJ12" s="14"/>
      <c r="AP12" s="13"/>
      <c r="AQ12" s="14"/>
      <c r="AS12" s="16"/>
      <c r="AT12" s="16"/>
      <c r="AU12" s="15"/>
      <c r="AV12" s="13"/>
      <c r="AW12" s="50"/>
      <c r="BC12" s="15"/>
      <c r="BD12" s="13"/>
      <c r="BJ12" s="15"/>
      <c r="BK12" s="13"/>
      <c r="BM12" s="14"/>
      <c r="BP12" s="15"/>
      <c r="BQ12" s="15"/>
      <c r="BR12" s="13"/>
      <c r="BX12" s="15"/>
      <c r="BY12" s="13"/>
      <c r="CQ12" s="55" t="s">
        <v>86</v>
      </c>
      <c r="CR12" s="15">
        <f>CR8/2/J2</f>
        <v>42182.627148124957</v>
      </c>
      <c r="CS12" s="112">
        <v>-0.5</v>
      </c>
    </row>
    <row r="13" spans="2:98" ht="17" thickBot="1">
      <c r="B13" s="179" t="s">
        <v>92</v>
      </c>
      <c r="C13" s="180">
        <f>SUM(C7:C11)</f>
        <v>-3700254.5500001572</v>
      </c>
      <c r="D13" s="18"/>
      <c r="G13" s="169"/>
      <c r="I13" s="11"/>
      <c r="J13" s="11"/>
      <c r="K13" s="15"/>
      <c r="O13" s="14"/>
      <c r="R13" s="17"/>
      <c r="AC13" s="14"/>
      <c r="AI13" s="13"/>
      <c r="AJ13" s="14"/>
      <c r="AP13" s="13"/>
      <c r="AQ13" s="14"/>
      <c r="AS13" s="16"/>
      <c r="AT13" s="16"/>
      <c r="AU13" s="15"/>
      <c r="AV13" s="13"/>
      <c r="AW13" s="50"/>
      <c r="BC13" s="15"/>
      <c r="BD13" s="13"/>
      <c r="BJ13" s="15"/>
      <c r="BK13" s="13"/>
      <c r="BX13" s="15"/>
      <c r="BY13" s="13"/>
      <c r="CQ13" s="67" t="s">
        <v>87</v>
      </c>
      <c r="CR13" s="113">
        <v>46826</v>
      </c>
      <c r="CS13" s="114" t="s">
        <v>88</v>
      </c>
    </row>
    <row r="14" spans="2:98" ht="17">
      <c r="B14" s="17"/>
      <c r="C14" s="18"/>
      <c r="D14" s="18"/>
      <c r="G14" s="169"/>
      <c r="I14" s="11"/>
      <c r="J14" s="11"/>
      <c r="K14" s="15"/>
      <c r="L14" s="170"/>
      <c r="M14" s="15"/>
      <c r="N14" s="15"/>
      <c r="O14" s="14"/>
      <c r="R14" s="17"/>
      <c r="AC14" s="14"/>
      <c r="AI14" s="13"/>
      <c r="AJ14" s="14"/>
      <c r="AP14" s="13"/>
      <c r="AQ14" s="14"/>
      <c r="AS14" s="16"/>
      <c r="AT14" s="16"/>
      <c r="AU14" s="15"/>
      <c r="AV14" s="13"/>
      <c r="AW14" s="50"/>
      <c r="BC14" s="15"/>
      <c r="BD14" s="13"/>
      <c r="BJ14" s="15"/>
      <c r="BK14" s="13"/>
      <c r="BX14" s="15"/>
      <c r="BY14" s="13"/>
    </row>
    <row r="15" spans="2:98" ht="18">
      <c r="G15" s="169"/>
      <c r="I15" s="11"/>
      <c r="J15" s="11"/>
      <c r="K15" s="15"/>
      <c r="O15" s="14"/>
      <c r="R15" s="17"/>
      <c r="AC15" s="14"/>
      <c r="AI15" s="13"/>
      <c r="AJ15" s="14"/>
      <c r="AP15" s="13"/>
      <c r="AQ15" s="14"/>
      <c r="AS15" s="16"/>
      <c r="AT15" s="16"/>
      <c r="AU15" s="15"/>
      <c r="AV15" s="13"/>
      <c r="AW15" s="50"/>
      <c r="BC15" s="73"/>
      <c r="BD15" s="13"/>
      <c r="BJ15" s="73"/>
      <c r="BK15" s="13"/>
      <c r="BT15" s="14"/>
      <c r="BX15" s="15"/>
      <c r="BY15" s="13"/>
      <c r="CQ15" s="140" t="s">
        <v>110</v>
      </c>
      <c r="CR15" s="141">
        <v>1497</v>
      </c>
    </row>
    <row r="16" spans="2:98" ht="19" thickBot="1">
      <c r="G16" s="169"/>
      <c r="I16" s="11"/>
      <c r="J16" s="11"/>
      <c r="K16" s="15"/>
      <c r="M16" s="15"/>
      <c r="N16" s="15"/>
      <c r="O16" s="14"/>
      <c r="R16" s="17"/>
      <c r="AC16" s="14"/>
      <c r="AI16" s="13"/>
      <c r="AJ16" s="14"/>
      <c r="AP16" s="13"/>
      <c r="AQ16" s="14"/>
      <c r="AS16" s="165"/>
      <c r="AT16" s="16"/>
      <c r="AU16" s="15"/>
      <c r="AV16" s="13"/>
      <c r="AW16" s="50"/>
      <c r="BC16" s="15"/>
      <c r="BD16" s="13"/>
      <c r="BJ16" s="15"/>
      <c r="BK16" s="13"/>
      <c r="BO16" s="15">
        <f>BC7+BQ12+BX11</f>
        <v>0</v>
      </c>
      <c r="BT16" s="14"/>
      <c r="BX16" s="15"/>
      <c r="BY16" s="13"/>
      <c r="CQ16" s="137" t="s">
        <v>111</v>
      </c>
      <c r="CR16" s="139">
        <f>J2</f>
        <v>1437.3</v>
      </c>
    </row>
    <row r="17" spans="2:96" ht="17" thickBot="1">
      <c r="B17" s="65"/>
      <c r="C17" s="100">
        <v>2026</v>
      </c>
      <c r="D17" s="100">
        <v>2027</v>
      </c>
      <c r="E17" s="84" t="s">
        <v>94</v>
      </c>
      <c r="G17" s="169"/>
      <c r="I17" s="11"/>
      <c r="J17" s="11"/>
      <c r="K17" s="15"/>
      <c r="O17" s="14"/>
      <c r="R17" s="17"/>
      <c r="AC17" s="14"/>
      <c r="AE17" s="69"/>
      <c r="AF17" s="16"/>
      <c r="AG17" s="15"/>
      <c r="AH17" s="13"/>
      <c r="AI17" s="13"/>
      <c r="AJ17" s="14"/>
      <c r="AL17" s="69"/>
      <c r="AM17" s="16"/>
      <c r="AN17" s="15"/>
      <c r="AO17" s="13"/>
      <c r="AP17" s="13"/>
      <c r="AQ17" s="14"/>
      <c r="AS17" s="69"/>
      <c r="AT17" s="16"/>
      <c r="AU17" s="15"/>
      <c r="AV17" s="13"/>
      <c r="AW17" s="50"/>
      <c r="BC17" s="73"/>
      <c r="BD17" s="13"/>
      <c r="BJ17" s="73"/>
      <c r="BK17" s="13"/>
      <c r="BT17" s="14"/>
      <c r="BV17" s="16"/>
      <c r="BW17" s="16"/>
      <c r="BX17" s="15"/>
      <c r="BY17" s="13"/>
      <c r="CQ17" s="38" t="s">
        <v>112</v>
      </c>
      <c r="CR17" s="139">
        <f>CR16*(1+CS4)</f>
        <v>1494.022354708103</v>
      </c>
    </row>
    <row r="18" spans="2:96" ht="17">
      <c r="B18" s="81" t="s">
        <v>89</v>
      </c>
      <c r="C18" s="103">
        <f>BC35+BQ35+BX35+BJ35</f>
        <v>-1212609.8999999999</v>
      </c>
      <c r="D18" s="101"/>
      <c r="E18" s="82">
        <f>C18+D18</f>
        <v>-1212609.8999999999</v>
      </c>
      <c r="G18" s="174" t="s">
        <v>132</v>
      </c>
      <c r="I18" s="11"/>
      <c r="J18" s="11"/>
      <c r="K18" s="15"/>
      <c r="M18" s="15"/>
      <c r="N18" s="15"/>
      <c r="O18" s="14"/>
      <c r="R18" s="17"/>
      <c r="AC18" s="14"/>
      <c r="AE18" s="69"/>
      <c r="AF18" s="16"/>
      <c r="AG18" s="15"/>
      <c r="AH18" s="13"/>
      <c r="AI18" s="13"/>
      <c r="AJ18" s="14"/>
      <c r="AL18" s="69"/>
      <c r="AM18" s="16"/>
      <c r="AN18" s="15"/>
      <c r="AO18" s="13"/>
      <c r="AP18" s="13"/>
      <c r="AQ18" s="14"/>
      <c r="AS18" s="69"/>
      <c r="AT18" s="16"/>
      <c r="AU18" s="15"/>
      <c r="AV18" s="13"/>
      <c r="AW18" s="50"/>
      <c r="BC18" s="15"/>
      <c r="BD18" s="13"/>
      <c r="BJ18" s="15"/>
      <c r="BK18" s="13"/>
      <c r="BT18" s="14"/>
      <c r="BV18" s="16"/>
      <c r="BW18" s="16"/>
      <c r="BX18" s="15"/>
      <c r="BY18" s="13"/>
      <c r="CQ18" s="38" t="s">
        <v>113</v>
      </c>
      <c r="CR18" s="138">
        <f>CR15-CR17</f>
        <v>2.9776452918970335</v>
      </c>
    </row>
    <row r="19" spans="2:96">
      <c r="B19" s="159" t="s">
        <v>90</v>
      </c>
      <c r="C19" s="103">
        <f>K35+S35+Z35</f>
        <v>-3765000.0000000205</v>
      </c>
      <c r="D19" s="101"/>
      <c r="E19" s="82">
        <f t="shared" ref="E19:E22" si="6">C19+D19</f>
        <v>-3765000.0000000205</v>
      </c>
      <c r="G19" s="169" t="s">
        <v>130</v>
      </c>
      <c r="I19" s="11"/>
      <c r="J19" s="11"/>
      <c r="K19" s="15"/>
      <c r="O19" s="14"/>
      <c r="R19" s="17"/>
      <c r="AC19" s="14"/>
      <c r="AE19" s="69"/>
      <c r="AF19" s="16"/>
      <c r="AG19" s="15"/>
      <c r="AH19" s="13"/>
      <c r="AI19" s="13"/>
      <c r="AJ19" s="14"/>
      <c r="AL19" s="69"/>
      <c r="AM19" s="16"/>
      <c r="AN19" s="15"/>
      <c r="AO19" s="13"/>
      <c r="AP19" s="13"/>
      <c r="AQ19" s="14"/>
      <c r="AS19" s="69"/>
      <c r="AT19" s="16"/>
      <c r="AU19" s="15"/>
      <c r="AV19" s="13"/>
      <c r="AW19" s="50"/>
      <c r="BC19" s="15"/>
      <c r="BD19" s="13"/>
      <c r="BJ19" s="15"/>
      <c r="BK19" s="13"/>
      <c r="BT19" s="14"/>
      <c r="BV19" s="16"/>
      <c r="BW19" s="16"/>
      <c r="BX19" s="15"/>
      <c r="BY19" s="13"/>
    </row>
    <row r="20" spans="2:96" ht="17">
      <c r="B20" s="159" t="s">
        <v>91</v>
      </c>
      <c r="C20" s="103">
        <f>AG35+AU35+AN35</f>
        <v>-5193369.2500001295</v>
      </c>
      <c r="D20" s="101"/>
      <c r="E20" s="82">
        <f t="shared" si="6"/>
        <v>-5193369.2500001295</v>
      </c>
      <c r="G20" s="174" t="s">
        <v>131</v>
      </c>
      <c r="I20" s="11"/>
      <c r="J20" s="11"/>
      <c r="K20" s="15"/>
      <c r="M20" s="15"/>
      <c r="N20" s="15"/>
      <c r="O20" s="14"/>
      <c r="R20" s="17"/>
      <c r="AG20" s="15"/>
      <c r="AH20" s="13"/>
      <c r="AI20" s="13"/>
      <c r="AN20" s="15"/>
      <c r="AO20" s="13"/>
      <c r="AP20" s="13"/>
      <c r="AQ20" s="14"/>
      <c r="AS20" s="52"/>
      <c r="AT20" s="16"/>
      <c r="AU20" s="15"/>
      <c r="AV20" s="13"/>
      <c r="AW20" s="50"/>
      <c r="BA20" s="11"/>
      <c r="BB20" s="11"/>
      <c r="BC20" s="15"/>
      <c r="BD20" s="13"/>
      <c r="BH20" s="11"/>
      <c r="BI20" s="11"/>
      <c r="BJ20" s="15"/>
      <c r="BK20" s="13"/>
      <c r="BT20" s="14"/>
      <c r="BV20" s="16"/>
      <c r="BW20" s="16"/>
    </row>
    <row r="21" spans="2:96" ht="17">
      <c r="B21" s="159" t="s">
        <v>96</v>
      </c>
      <c r="C21" s="103">
        <f>CE35+CM35</f>
        <v>6470724.599999994</v>
      </c>
      <c r="D21" s="101"/>
      <c r="E21" s="82">
        <f t="shared" si="6"/>
        <v>6470724.599999994</v>
      </c>
      <c r="G21" s="174" t="s">
        <v>132</v>
      </c>
      <c r="I21" s="11"/>
      <c r="J21" s="11"/>
      <c r="K21" s="15"/>
      <c r="M21" s="15"/>
      <c r="N21" s="15"/>
      <c r="R21" s="17"/>
      <c r="AG21" s="15"/>
      <c r="AH21" s="13"/>
      <c r="AI21" s="13"/>
      <c r="AN21" s="15"/>
      <c r="AO21" s="13"/>
      <c r="AP21" s="13"/>
      <c r="AQ21" s="14"/>
      <c r="AS21" s="52"/>
      <c r="AT21" s="16"/>
      <c r="AU21" s="15"/>
      <c r="AV21" s="13"/>
      <c r="AW21" s="50"/>
      <c r="BA21" s="11"/>
      <c r="BB21" s="11"/>
      <c r="BC21" s="15"/>
      <c r="BD21" s="13"/>
      <c r="BH21" s="11"/>
      <c r="BI21" s="11"/>
      <c r="BJ21" s="15"/>
      <c r="BK21" s="13"/>
      <c r="BV21" s="69"/>
      <c r="BW21" s="16"/>
    </row>
    <row r="22" spans="2:96" ht="17" thickBot="1">
      <c r="B22" s="81" t="s">
        <v>95</v>
      </c>
      <c r="C22" s="101"/>
      <c r="D22" s="101"/>
      <c r="E22" s="82">
        <f t="shared" si="6"/>
        <v>0</v>
      </c>
      <c r="G22" s="169"/>
      <c r="I22" s="11"/>
      <c r="J22" s="11"/>
      <c r="K22" s="15"/>
      <c r="M22" s="15"/>
      <c r="N22" s="15"/>
      <c r="R22" s="17"/>
      <c r="AG22" s="15"/>
      <c r="AH22" s="13"/>
      <c r="AI22" s="13"/>
      <c r="AN22" s="15"/>
      <c r="AO22" s="13"/>
      <c r="AP22" s="13"/>
      <c r="AQ22" s="14"/>
      <c r="AS22" s="52"/>
      <c r="AT22" s="16"/>
      <c r="AU22" s="15"/>
      <c r="AV22" s="13"/>
      <c r="AW22" s="50"/>
      <c r="BA22" s="11"/>
      <c r="BB22" s="11"/>
      <c r="BC22" s="15"/>
      <c r="BD22" s="13"/>
      <c r="BH22" s="11"/>
      <c r="BI22" s="11"/>
      <c r="BJ22" s="15"/>
      <c r="BK22" s="13"/>
      <c r="BV22" s="69"/>
      <c r="BW22" s="16"/>
    </row>
    <row r="23" spans="2:96" ht="17" thickBot="1">
      <c r="B23" s="65" t="s">
        <v>67</v>
      </c>
      <c r="C23" s="108">
        <f>SUM(C18:C22)</f>
        <v>-3700254.5500001572</v>
      </c>
      <c r="D23" s="102">
        <f>SUM(D18:D22)</f>
        <v>0</v>
      </c>
      <c r="E23" s="102">
        <f>SUM(E18:E22)</f>
        <v>-3700254.5500001572</v>
      </c>
      <c r="G23" s="169"/>
      <c r="I23" s="11"/>
      <c r="J23" s="11"/>
      <c r="K23" s="15"/>
      <c r="M23" s="15"/>
      <c r="N23" s="15"/>
      <c r="R23" s="17"/>
      <c r="AG23" s="15"/>
      <c r="AH23" s="13"/>
      <c r="AI23" s="13"/>
      <c r="AN23" s="15"/>
      <c r="AO23" s="13"/>
      <c r="AP23" s="13"/>
      <c r="AQ23" s="14"/>
      <c r="AS23" s="52"/>
      <c r="AT23" s="16"/>
      <c r="AU23" s="15"/>
      <c r="AV23" s="13"/>
      <c r="AW23" s="50"/>
      <c r="BA23" s="11"/>
      <c r="BB23" s="11"/>
      <c r="BC23" s="15"/>
      <c r="BD23" s="13"/>
      <c r="BH23" s="11"/>
      <c r="BI23" s="11"/>
      <c r="BJ23" s="15"/>
      <c r="BK23" s="13"/>
      <c r="BM23" s="14"/>
    </row>
    <row r="24" spans="2:96">
      <c r="B24" s="98" t="s">
        <v>97</v>
      </c>
      <c r="C24" s="64">
        <v>200000000</v>
      </c>
      <c r="D24" s="80"/>
      <c r="E24" s="116"/>
      <c r="G24" s="169"/>
      <c r="I24" s="11"/>
      <c r="J24" s="11"/>
      <c r="K24" s="15"/>
      <c r="M24" s="15"/>
      <c r="N24" s="15"/>
      <c r="R24" s="17"/>
      <c r="AG24" s="15"/>
      <c r="AH24" s="13"/>
      <c r="AI24" s="13"/>
      <c r="AN24" s="15"/>
      <c r="AO24" s="13"/>
      <c r="AP24" s="13"/>
      <c r="AQ24" s="14"/>
      <c r="AS24" s="52"/>
      <c r="AT24" s="16"/>
      <c r="AU24" s="15"/>
      <c r="AV24" s="13"/>
      <c r="AW24" s="50"/>
      <c r="BA24" s="11"/>
      <c r="BB24" s="11"/>
      <c r="BC24" s="15"/>
      <c r="BD24" s="13"/>
      <c r="BH24" s="11"/>
      <c r="BI24" s="11"/>
      <c r="BJ24" s="15"/>
      <c r="BK24" s="13"/>
      <c r="BM24" s="14"/>
    </row>
    <row r="25" spans="2:96" ht="17" thickBot="1">
      <c r="B25" s="104" t="s">
        <v>98</v>
      </c>
      <c r="C25" s="99">
        <f>C24/4</f>
        <v>50000000</v>
      </c>
      <c r="D25" s="105"/>
      <c r="E25" s="117"/>
      <c r="G25" s="169"/>
      <c r="I25" s="11"/>
      <c r="J25" s="11"/>
      <c r="K25" s="15"/>
      <c r="M25" s="15"/>
      <c r="N25" s="15"/>
      <c r="R25" s="17"/>
      <c r="AG25" s="15"/>
      <c r="AH25" s="13"/>
      <c r="AI25" s="13"/>
      <c r="AN25" s="15"/>
      <c r="AO25" s="13"/>
      <c r="AP25" s="13"/>
      <c r="AQ25" s="14"/>
      <c r="AS25" s="52"/>
      <c r="AT25" s="16"/>
      <c r="AU25" s="15"/>
      <c r="AV25" s="13"/>
      <c r="AW25" s="50"/>
      <c r="BA25" s="11"/>
      <c r="BB25" s="11"/>
      <c r="BC25" s="15"/>
      <c r="BD25" s="13"/>
      <c r="BH25" s="11"/>
      <c r="BI25" s="11"/>
      <c r="BJ25" s="15"/>
      <c r="BK25" s="13"/>
      <c r="BM25" s="14"/>
    </row>
    <row r="26" spans="2:96">
      <c r="B26" s="98" t="s">
        <v>99</v>
      </c>
      <c r="C26" s="64">
        <v>100000000</v>
      </c>
      <c r="D26" s="80"/>
      <c r="E26" s="116"/>
      <c r="G26" s="169"/>
      <c r="I26" s="11"/>
      <c r="J26" s="11"/>
      <c r="K26" s="15"/>
      <c r="M26" s="15"/>
      <c r="N26" s="15"/>
      <c r="R26" s="17"/>
      <c r="AG26" s="15"/>
      <c r="AH26" s="13"/>
      <c r="AI26" s="13"/>
      <c r="AN26" s="15"/>
      <c r="AO26" s="13"/>
      <c r="AP26" s="13"/>
      <c r="AQ26" s="14"/>
      <c r="AS26" s="52"/>
      <c r="AT26" s="16"/>
      <c r="AU26" s="15"/>
      <c r="AV26" s="13"/>
      <c r="AW26" s="50"/>
      <c r="BA26" s="11"/>
      <c r="BB26" s="11"/>
      <c r="BC26" s="15"/>
      <c r="BD26" s="13"/>
      <c r="BH26" s="11"/>
      <c r="BI26" s="11"/>
      <c r="BJ26" s="15"/>
      <c r="BK26" s="13"/>
      <c r="BM26" s="14"/>
    </row>
    <row r="27" spans="2:96" ht="17" thickBot="1">
      <c r="B27" s="83" t="s">
        <v>65</v>
      </c>
      <c r="C27" s="106">
        <f>C23/C26</f>
        <v>-3.7002545500001573E-2</v>
      </c>
      <c r="D27" s="107"/>
      <c r="E27" s="118"/>
      <c r="G27" s="169"/>
      <c r="I27" s="11"/>
      <c r="J27" s="11"/>
      <c r="K27" s="15"/>
      <c r="M27" s="74"/>
      <c r="N27" s="15"/>
      <c r="R27" s="17"/>
      <c r="AG27" s="15"/>
      <c r="AH27" s="13"/>
      <c r="AI27" s="13"/>
      <c r="AN27" s="15"/>
      <c r="AO27" s="13"/>
      <c r="AP27" s="13"/>
      <c r="AQ27" s="14"/>
      <c r="AS27" s="52"/>
      <c r="AT27" s="16"/>
      <c r="AU27" s="15"/>
      <c r="AV27" s="13"/>
      <c r="AW27" s="50"/>
      <c r="BA27" s="11"/>
      <c r="BB27" s="11"/>
      <c r="BC27" s="15"/>
      <c r="BD27" s="13"/>
      <c r="BH27" s="11"/>
      <c r="BI27" s="11"/>
      <c r="BJ27" s="15"/>
      <c r="BK27" s="13"/>
      <c r="BM27" s="14"/>
    </row>
    <row r="28" spans="2:96">
      <c r="G28" s="169"/>
      <c r="I28" s="11"/>
      <c r="J28" s="11"/>
      <c r="K28" s="15"/>
      <c r="M28" s="74"/>
      <c r="N28" s="15"/>
      <c r="R28" s="17"/>
      <c r="AG28" s="15"/>
      <c r="AH28" s="13"/>
      <c r="AI28" s="13"/>
      <c r="AN28" s="15"/>
      <c r="AO28" s="13"/>
      <c r="AP28" s="13"/>
      <c r="AQ28" s="14"/>
      <c r="AS28" s="52"/>
      <c r="AT28" s="16"/>
      <c r="AU28" s="15"/>
      <c r="AV28" s="13"/>
      <c r="AW28" s="50"/>
      <c r="BA28" s="11"/>
      <c r="BB28" s="11"/>
      <c r="BC28" s="15"/>
      <c r="BD28" s="13"/>
      <c r="BH28" s="11"/>
      <c r="BI28" s="11"/>
      <c r="BJ28" s="15"/>
      <c r="BK28" s="13"/>
    </row>
    <row r="29" spans="2:96">
      <c r="G29" s="169"/>
      <c r="I29" s="11"/>
      <c r="J29" s="11"/>
      <c r="K29" s="15"/>
      <c r="M29" s="15"/>
      <c r="N29" s="15"/>
      <c r="R29" s="17"/>
      <c r="AG29" s="15"/>
      <c r="AH29" s="13"/>
      <c r="AI29" s="13"/>
      <c r="AN29" s="15"/>
      <c r="AO29" s="13"/>
      <c r="AP29" s="13"/>
      <c r="AQ29" s="14"/>
      <c r="AS29" s="52"/>
      <c r="AT29" s="16"/>
      <c r="AU29" s="15"/>
      <c r="AV29" s="13"/>
      <c r="AW29" s="50"/>
      <c r="BA29" s="11"/>
      <c r="BB29" s="11"/>
      <c r="BC29" s="15"/>
      <c r="BD29" s="13"/>
      <c r="BH29" s="11"/>
      <c r="BI29" s="11"/>
      <c r="BJ29" s="15"/>
      <c r="BK29" s="13"/>
    </row>
    <row r="30" spans="2:96">
      <c r="G30" s="169"/>
      <c r="J30" s="11"/>
      <c r="K30" s="15"/>
    </row>
    <row r="31" spans="2:96">
      <c r="G31" s="169"/>
      <c r="J31" s="11"/>
      <c r="K31" s="15"/>
      <c r="M31" s="15"/>
      <c r="N31" s="15"/>
      <c r="R31" s="17"/>
      <c r="AG31" s="15"/>
      <c r="AH31" s="13"/>
      <c r="AI31" s="13"/>
      <c r="AN31" s="15"/>
      <c r="AO31" s="13"/>
      <c r="AP31" s="13"/>
      <c r="AQ31" s="14"/>
      <c r="AS31" s="52"/>
      <c r="AT31" s="16"/>
      <c r="AU31" s="15"/>
      <c r="AV31" s="13"/>
      <c r="AW31" s="50"/>
      <c r="BA31" s="11"/>
      <c r="BB31" s="11"/>
      <c r="BC31" s="15"/>
      <c r="BD31" s="13"/>
      <c r="BH31" s="11"/>
      <c r="BI31" s="11"/>
      <c r="BJ31" s="15"/>
      <c r="BK31" s="13"/>
    </row>
    <row r="32" spans="2:96">
      <c r="G32" s="169"/>
      <c r="J32" s="11"/>
      <c r="K32" s="15"/>
      <c r="M32" s="74"/>
      <c r="N32" s="15"/>
      <c r="R32" s="17"/>
      <c r="AG32" s="15"/>
      <c r="AH32" s="13"/>
      <c r="AI32" s="13"/>
      <c r="AN32" s="15"/>
      <c r="AO32" s="13"/>
      <c r="AP32" s="13"/>
      <c r="AQ32" s="14"/>
      <c r="AS32" s="52"/>
      <c r="AT32" s="16"/>
      <c r="AU32" s="15"/>
      <c r="AV32" s="13"/>
      <c r="AW32" s="50"/>
      <c r="BA32" s="11"/>
      <c r="BB32" s="11"/>
      <c r="BC32" s="15"/>
      <c r="BD32" s="13"/>
      <c r="BH32" s="11"/>
      <c r="BI32" s="11"/>
      <c r="BJ32" s="15"/>
      <c r="BK32" s="13"/>
    </row>
    <row r="33" spans="2:92">
      <c r="M33" s="15"/>
      <c r="N33" s="15"/>
      <c r="R33" s="17"/>
      <c r="AG33" s="15"/>
      <c r="AH33" s="13"/>
      <c r="AI33" s="13"/>
      <c r="AN33" s="15"/>
      <c r="AO33" s="13"/>
      <c r="AP33" s="13"/>
      <c r="AQ33" s="14"/>
      <c r="AS33" s="52"/>
      <c r="AT33" s="16"/>
      <c r="AU33" s="15"/>
      <c r="AV33" s="13"/>
      <c r="AW33" s="50"/>
      <c r="BA33" s="11"/>
      <c r="BB33" s="11"/>
      <c r="BC33" s="15"/>
      <c r="BD33" s="13"/>
      <c r="BH33" s="11"/>
      <c r="BI33" s="11"/>
      <c r="BJ33" s="15"/>
      <c r="BK33" s="13"/>
    </row>
    <row r="34" spans="2:92" ht="17" thickBot="1">
      <c r="M34" s="15"/>
      <c r="N34" s="15"/>
      <c r="R34" s="17"/>
      <c r="AG34" s="15"/>
      <c r="AH34" s="13"/>
      <c r="AI34" s="13"/>
      <c r="AN34" s="15"/>
      <c r="AO34" s="13"/>
      <c r="AP34" s="13"/>
      <c r="AQ34" s="14"/>
      <c r="AS34" s="52"/>
      <c r="AT34" s="16"/>
      <c r="AU34" s="15"/>
      <c r="AV34" s="13"/>
      <c r="AW34" s="50"/>
      <c r="BA34" s="11"/>
      <c r="BB34" s="11"/>
      <c r="BC34" s="15"/>
      <c r="BD34" s="13"/>
      <c r="BH34" s="11"/>
      <c r="BI34" s="11"/>
      <c r="BJ34" s="15"/>
      <c r="BK34" s="13"/>
    </row>
    <row r="35" spans="2:92" ht="17" thickBot="1">
      <c r="B35" s="19" t="s">
        <v>84</v>
      </c>
      <c r="C35" s="20">
        <f>SUM(E35:CS35)</f>
        <v>-3700254.5500001572</v>
      </c>
      <c r="K35" s="21">
        <f>SUM(K4:K34)</f>
        <v>-3765000.0000000205</v>
      </c>
      <c r="M35" s="15"/>
      <c r="S35" s="22">
        <f>SUM(S4:S34)</f>
        <v>0</v>
      </c>
      <c r="Z35" s="22">
        <f>SUM(Z4:Z34)</f>
        <v>0</v>
      </c>
      <c r="AG35" s="21">
        <f>SUM(AG4:AG34)</f>
        <v>-700000.00000014494</v>
      </c>
      <c r="AN35" s="21">
        <f>SUM(AN4:AN34)</f>
        <v>-2879999.9999999814</v>
      </c>
      <c r="AU35" s="21">
        <f>SUM(AU4:AU34)</f>
        <v>-1613369.2500000033</v>
      </c>
      <c r="BB35" s="11"/>
      <c r="BC35" s="21">
        <f>SUM(BC4:BC34)</f>
        <v>0</v>
      </c>
      <c r="BI35" s="11"/>
      <c r="BJ35" s="21">
        <f>SUM(BJ4:BJ34)</f>
        <v>2040000</v>
      </c>
      <c r="BP35" s="15"/>
      <c r="BQ35" s="21">
        <f>SUM(BQ4:BQ34)</f>
        <v>-1103846.3999999999</v>
      </c>
      <c r="BX35" s="21">
        <f>SUM(BX4:BX34)</f>
        <v>-2148763.5</v>
      </c>
      <c r="CE35" s="21">
        <f>SUM(CE4:CE34)</f>
        <v>-1882863.0000000033</v>
      </c>
      <c r="CJ35" s="18"/>
      <c r="CK35" s="18"/>
      <c r="CL35" s="18"/>
      <c r="CM35" s="21">
        <f>SUM(CM4:CM34)</f>
        <v>8353587.5999999978</v>
      </c>
      <c r="CN35" s="18"/>
    </row>
    <row r="36" spans="2:92" ht="17" thickBot="1">
      <c r="B36" s="23"/>
      <c r="C36" s="18"/>
      <c r="K36" s="18"/>
      <c r="L36" s="13"/>
      <c r="S36" s="18"/>
      <c r="AG36" s="18"/>
      <c r="AN36" s="18"/>
      <c r="AU36" s="18"/>
      <c r="BB36" s="11"/>
      <c r="BC36" s="18"/>
      <c r="BI36" s="11"/>
      <c r="BJ36" s="18"/>
      <c r="BQ36" s="18"/>
      <c r="BX36" s="18"/>
      <c r="CE36" s="18"/>
    </row>
    <row r="37" spans="2:92" ht="17" thickBot="1">
      <c r="H37" s="65" t="s">
        <v>117</v>
      </c>
      <c r="I37" s="150" t="e">
        <f>(H30*I30+H31*I31+H32*I32)/(H30+H31+H32)</f>
        <v>#DIV/0!</v>
      </c>
      <c r="J37" s="75"/>
      <c r="K37" s="149" t="e">
        <f>(J32-I37)*L32*10000</f>
        <v>#DIV/0!</v>
      </c>
      <c r="L37" s="13"/>
      <c r="S37" s="18"/>
      <c r="AG37" s="18"/>
      <c r="AN37" s="18"/>
      <c r="AU37" s="18"/>
      <c r="BB37" s="11"/>
      <c r="BC37" s="18"/>
      <c r="BI37" s="11"/>
      <c r="BJ37" s="18"/>
      <c r="BX37" s="18"/>
      <c r="CE37" s="18"/>
    </row>
    <row r="38" spans="2:92">
      <c r="I38" s="7">
        <v>1490</v>
      </c>
      <c r="K38" s="18" t="e">
        <f>(I38-I37)*L32*10000</f>
        <v>#DIV/0!</v>
      </c>
      <c r="L38" s="13"/>
      <c r="S38" s="18"/>
      <c r="AG38" s="18"/>
      <c r="AN38" s="18"/>
      <c r="AU38" s="18"/>
      <c r="BB38" s="11"/>
      <c r="BC38" s="18"/>
      <c r="BI38" s="11"/>
      <c r="BJ38" s="18"/>
      <c r="BX38" s="18"/>
      <c r="CE38" s="18"/>
    </row>
    <row r="39" spans="2:92">
      <c r="K39" s="18"/>
      <c r="L39" s="13"/>
      <c r="S39" s="18"/>
      <c r="AG39" s="18"/>
      <c r="AN39" s="18"/>
      <c r="AU39" s="18"/>
      <c r="BB39" s="11"/>
      <c r="BC39" s="18"/>
      <c r="BI39" s="11"/>
      <c r="BJ39" s="18"/>
      <c r="BQ39" s="18"/>
      <c r="BX39" s="18"/>
      <c r="CE39" s="18"/>
    </row>
    <row r="40" spans="2:92">
      <c r="K40" s="18"/>
      <c r="L40" s="13"/>
      <c r="S40" s="18"/>
      <c r="AG40" s="18"/>
      <c r="AN40" s="18"/>
      <c r="AU40" s="18"/>
      <c r="BB40" s="11"/>
      <c r="BC40" s="18"/>
      <c r="BI40" s="11"/>
      <c r="BJ40" s="18"/>
      <c r="BQ40" s="18"/>
      <c r="BX40" s="18"/>
      <c r="CE40" s="18"/>
    </row>
    <row r="41" spans="2:92">
      <c r="K41" s="18"/>
      <c r="L41" s="13"/>
      <c r="S41" s="18"/>
      <c r="AG41" s="18"/>
      <c r="AN41" s="18"/>
      <c r="AU41" s="18"/>
      <c r="BB41" s="11"/>
      <c r="BC41" s="18"/>
      <c r="BI41" s="11"/>
      <c r="BJ41" s="18"/>
      <c r="BQ41" s="18"/>
      <c r="BX41" s="18"/>
      <c r="CE41" s="18"/>
    </row>
    <row r="42" spans="2:92">
      <c r="K42" s="18"/>
      <c r="L42" s="13"/>
      <c r="S42" s="18"/>
      <c r="AG42" s="18"/>
      <c r="AN42" s="18"/>
      <c r="AU42" s="18"/>
      <c r="BB42" s="11"/>
      <c r="BC42" s="18"/>
      <c r="BI42" s="11"/>
      <c r="BJ42" s="18"/>
      <c r="BQ42" s="18"/>
      <c r="BX42" s="18"/>
      <c r="CE42" s="18"/>
    </row>
    <row r="43" spans="2:92">
      <c r="K43" s="18"/>
      <c r="L43" s="13"/>
      <c r="S43" s="18"/>
      <c r="AG43" s="18"/>
      <c r="AN43" s="18"/>
      <c r="AU43" s="18"/>
      <c r="BB43" s="11"/>
      <c r="BC43" s="18"/>
      <c r="BI43" s="11"/>
      <c r="BJ43" s="18"/>
      <c r="BQ43" s="18"/>
      <c r="BX43" s="18"/>
      <c r="CE43" s="18"/>
    </row>
    <row r="44" spans="2:92">
      <c r="E44" s="15"/>
    </row>
    <row r="45" spans="2:92">
      <c r="E45" s="15"/>
    </row>
    <row r="46" spans="2:92">
      <c r="E46" s="15"/>
    </row>
    <row r="47" spans="2:92">
      <c r="E47" s="15"/>
      <c r="F47" s="15"/>
      <c r="AX47" s="15"/>
      <c r="AY47" s="15"/>
      <c r="AZ47" s="15"/>
      <c r="BF47" s="15"/>
      <c r="BG47" s="15"/>
    </row>
    <row r="48" spans="2:92">
      <c r="F48" s="15"/>
      <c r="AX48" s="15"/>
      <c r="AY48" s="15"/>
      <c r="AZ48" s="15"/>
      <c r="BF48" s="15"/>
      <c r="BG48" s="15"/>
    </row>
    <row r="49" spans="2:59">
      <c r="F49" s="15"/>
      <c r="AX49" s="15"/>
      <c r="AY49" s="15"/>
      <c r="AZ49" s="15"/>
      <c r="BF49" s="15"/>
      <c r="BG49" s="15"/>
    </row>
    <row r="50" spans="2:59">
      <c r="F50" s="15"/>
      <c r="AX50" s="15"/>
      <c r="AY50" s="15"/>
      <c r="AZ50" s="15"/>
      <c r="BF50" s="15"/>
      <c r="BG50" s="15"/>
    </row>
    <row r="51" spans="2:59">
      <c r="B51" s="17"/>
      <c r="C51" s="18"/>
    </row>
    <row r="52" spans="2:59">
      <c r="B52" s="23"/>
      <c r="C52" s="18"/>
    </row>
    <row r="56" spans="2:59">
      <c r="F56" s="4"/>
      <c r="AX56" s="4"/>
      <c r="AY56" s="4"/>
      <c r="AZ56" s="4"/>
      <c r="BF56" s="4"/>
      <c r="BG56" s="4"/>
    </row>
    <row r="57" spans="2:59">
      <c r="F57" s="15"/>
      <c r="AX57" s="15"/>
      <c r="AY57" s="15"/>
      <c r="AZ57" s="15"/>
      <c r="BF57" s="15"/>
      <c r="BG57" s="15"/>
    </row>
    <row r="58" spans="2:59">
      <c r="F58" s="15"/>
      <c r="AX58" s="15"/>
      <c r="AY58" s="15"/>
      <c r="AZ58" s="15"/>
      <c r="BF58" s="15"/>
      <c r="BG58" s="15"/>
    </row>
    <row r="59" spans="2:59">
      <c r="F59" s="15"/>
      <c r="AX59" s="15"/>
      <c r="AY59" s="15"/>
      <c r="AZ59" s="15"/>
      <c r="BF59" s="15"/>
      <c r="BG59" s="15"/>
    </row>
    <row r="60" spans="2:59">
      <c r="F60" s="15"/>
      <c r="AX60" s="15"/>
      <c r="AY60" s="15"/>
      <c r="AZ60" s="15"/>
      <c r="BF60" s="15"/>
      <c r="BG60" s="15"/>
    </row>
    <row r="61" spans="2:59">
      <c r="F61" s="15"/>
      <c r="AX61" s="15"/>
      <c r="AY61" s="15"/>
      <c r="AZ61" s="15"/>
      <c r="BF61" s="15"/>
      <c r="BG61" s="15"/>
    </row>
    <row r="62" spans="2:59">
      <c r="F62" s="74"/>
      <c r="AX62" s="74"/>
      <c r="AY62" s="74"/>
      <c r="AZ62" s="74"/>
      <c r="BF62" s="74"/>
      <c r="BG62" s="74"/>
    </row>
    <row r="63" spans="2:59">
      <c r="C63" s="1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9814A-D74D-1A42-B387-D08F3996EFF7}">
  <dimension ref="B2:Z45"/>
  <sheetViews>
    <sheetView zoomScale="157" zoomScaleNormal="157" workbookViewId="0">
      <pane xSplit="2" topLeftCell="K1" activePane="topRight" state="frozen"/>
      <selection pane="topRight" activeCell="V15" sqref="V15"/>
    </sheetView>
  </sheetViews>
  <sheetFormatPr baseColWidth="10" defaultColWidth="4.42578125" defaultRowHeight="14"/>
  <cols>
    <col min="1" max="1" width="4.42578125" style="1"/>
    <col min="2" max="2" width="13.85546875" style="1" bestFit="1" customWidth="1"/>
    <col min="3" max="3" width="9" style="1" bestFit="1" customWidth="1"/>
    <col min="4" max="4" width="7.5703125" style="1" bestFit="1" customWidth="1"/>
    <col min="5" max="5" width="8.7109375" style="1" bestFit="1" customWidth="1"/>
    <col min="6" max="6" width="3.85546875" style="1" customWidth="1"/>
    <col min="7" max="7" width="10" style="1" bestFit="1" customWidth="1"/>
    <col min="8" max="8" width="9.140625" style="1" bestFit="1" customWidth="1"/>
    <col min="9" max="9" width="4.140625" style="1" customWidth="1"/>
    <col min="10" max="11" width="8.28515625" style="1" bestFit="1" customWidth="1"/>
    <col min="12" max="12" width="8.7109375" style="1" bestFit="1" customWidth="1"/>
    <col min="13" max="13" width="3.140625" style="1" customWidth="1"/>
    <col min="14" max="14" width="7.85546875" style="1" bestFit="1" customWidth="1"/>
    <col min="15" max="15" width="7" style="1" bestFit="1" customWidth="1"/>
    <col min="16" max="16" width="3.140625" style="1" customWidth="1"/>
    <col min="17" max="17" width="7.85546875" style="1" bestFit="1" customWidth="1"/>
    <col min="18" max="18" width="10.28515625" style="1" bestFit="1" customWidth="1"/>
    <col min="19" max="20" width="10.140625" style="1" bestFit="1" customWidth="1"/>
    <col min="21" max="21" width="3.85546875" style="1" customWidth="1"/>
    <col min="22" max="22" width="10.7109375" style="1" bestFit="1" customWidth="1"/>
    <col min="23" max="23" width="10.28515625" style="1" bestFit="1" customWidth="1"/>
    <col min="24" max="24" width="9.85546875" style="1" customWidth="1"/>
    <col min="25" max="25" width="6.42578125" style="1" bestFit="1" customWidth="1"/>
    <col min="26" max="16384" width="4.42578125" style="1"/>
  </cols>
  <sheetData>
    <row r="2" spans="2:26">
      <c r="B2" s="136">
        <v>45975</v>
      </c>
    </row>
    <row r="3" spans="2:26" s="3" customFormat="1" ht="15" thickBot="1">
      <c r="D3" s="3" t="s">
        <v>114</v>
      </c>
      <c r="G3" s="3" t="s">
        <v>109</v>
      </c>
      <c r="K3" s="3" t="s">
        <v>115</v>
      </c>
    </row>
    <row r="4" spans="2:26">
      <c r="B4" s="5" t="s">
        <v>18</v>
      </c>
      <c r="C4" s="134" t="s">
        <v>22</v>
      </c>
      <c r="D4" s="3" t="s">
        <v>100</v>
      </c>
      <c r="E4" s="3" t="s">
        <v>23</v>
      </c>
      <c r="F4" s="3"/>
      <c r="G4" s="134" t="s">
        <v>20</v>
      </c>
      <c r="H4" s="3" t="s">
        <v>21</v>
      </c>
      <c r="J4" s="152" t="s">
        <v>27</v>
      </c>
      <c r="K4" s="3" t="s">
        <v>105</v>
      </c>
      <c r="L4" s="134" t="s">
        <v>8</v>
      </c>
      <c r="N4" s="3" t="s">
        <v>28</v>
      </c>
      <c r="O4" s="24" t="s">
        <v>9</v>
      </c>
      <c r="Q4" s="3" t="s">
        <v>24</v>
      </c>
      <c r="R4" s="24" t="s">
        <v>2</v>
      </c>
      <c r="S4" s="3" t="s">
        <v>25</v>
      </c>
      <c r="T4" s="24" t="s">
        <v>1</v>
      </c>
      <c r="U4" s="3"/>
      <c r="V4" s="24" t="s">
        <v>7</v>
      </c>
      <c r="W4" s="3" t="s">
        <v>26</v>
      </c>
      <c r="X4" s="3"/>
    </row>
    <row r="5" spans="2:26" s="3" customFormat="1">
      <c r="B5" s="25" t="s">
        <v>29</v>
      </c>
      <c r="C5" s="26" t="s">
        <v>32</v>
      </c>
      <c r="D5" s="3" t="s">
        <v>101</v>
      </c>
      <c r="E5" s="3" t="s">
        <v>33</v>
      </c>
      <c r="G5" s="26" t="s">
        <v>30</v>
      </c>
      <c r="H5" s="3" t="s">
        <v>31</v>
      </c>
      <c r="J5" s="26" t="s">
        <v>39</v>
      </c>
      <c r="K5" s="3" t="s">
        <v>106</v>
      </c>
      <c r="L5" s="26" t="s">
        <v>38</v>
      </c>
      <c r="O5" s="26" t="s">
        <v>40</v>
      </c>
      <c r="Q5" s="3" t="s">
        <v>31</v>
      </c>
      <c r="R5" s="26" t="s">
        <v>34</v>
      </c>
      <c r="S5" s="3" t="s">
        <v>31</v>
      </c>
      <c r="T5" s="26" t="s">
        <v>35</v>
      </c>
      <c r="V5" s="26" t="s">
        <v>36</v>
      </c>
      <c r="W5" s="3" t="s">
        <v>37</v>
      </c>
    </row>
    <row r="6" spans="2:26" s="3" customFormat="1">
      <c r="C6" s="26" t="s">
        <v>43</v>
      </c>
      <c r="D6" s="3" t="s">
        <v>102</v>
      </c>
      <c r="E6" s="3" t="s">
        <v>44</v>
      </c>
      <c r="G6" s="26" t="s">
        <v>41</v>
      </c>
      <c r="H6" s="3" t="s">
        <v>42</v>
      </c>
      <c r="J6" s="26" t="s">
        <v>48</v>
      </c>
      <c r="K6" s="3" t="s">
        <v>39</v>
      </c>
      <c r="L6" s="26" t="s">
        <v>49</v>
      </c>
      <c r="N6" s="3" t="s">
        <v>50</v>
      </c>
      <c r="O6" s="26" t="s">
        <v>50</v>
      </c>
      <c r="Q6" s="3" t="s">
        <v>45</v>
      </c>
      <c r="R6" s="26" t="s">
        <v>45</v>
      </c>
      <c r="S6" s="3" t="s">
        <v>46</v>
      </c>
      <c r="T6" s="26" t="s">
        <v>46</v>
      </c>
      <c r="V6" s="26" t="s">
        <v>47</v>
      </c>
      <c r="W6" s="3" t="s">
        <v>47</v>
      </c>
    </row>
    <row r="7" spans="2:26">
      <c r="B7" s="1" t="s">
        <v>51</v>
      </c>
      <c r="C7" s="26" t="s">
        <v>52</v>
      </c>
      <c r="D7" s="3" t="s">
        <v>103</v>
      </c>
      <c r="E7" s="3" t="s">
        <v>52</v>
      </c>
      <c r="F7" s="3"/>
      <c r="G7" s="26" t="s">
        <v>52</v>
      </c>
      <c r="H7" s="3" t="s">
        <v>52</v>
      </c>
      <c r="J7" s="26" t="s">
        <v>54</v>
      </c>
      <c r="K7" s="3" t="s">
        <v>54</v>
      </c>
      <c r="L7" s="26" t="s">
        <v>54</v>
      </c>
      <c r="N7" s="28" t="s">
        <v>55</v>
      </c>
      <c r="O7" s="27" t="s">
        <v>55</v>
      </c>
      <c r="Q7" s="28" t="s">
        <v>52</v>
      </c>
      <c r="R7" s="27" t="s">
        <v>52</v>
      </c>
      <c r="S7" s="28" t="s">
        <v>52</v>
      </c>
      <c r="T7" s="27" t="s">
        <v>52</v>
      </c>
      <c r="U7" s="28"/>
      <c r="V7" s="27" t="s">
        <v>53</v>
      </c>
      <c r="W7" s="28" t="s">
        <v>53</v>
      </c>
      <c r="X7" s="28"/>
      <c r="Z7" s="28"/>
    </row>
    <row r="8" spans="2:26">
      <c r="B8" s="1" t="s">
        <v>56</v>
      </c>
      <c r="C8" s="26" t="s">
        <v>57</v>
      </c>
      <c r="D8" s="3" t="s">
        <v>83</v>
      </c>
      <c r="E8" s="3" t="s">
        <v>57</v>
      </c>
      <c r="F8" s="3"/>
      <c r="G8" s="26" t="s">
        <v>57</v>
      </c>
      <c r="H8" s="3" t="s">
        <v>57</v>
      </c>
      <c r="J8" s="26" t="s">
        <v>57</v>
      </c>
      <c r="K8" s="3" t="s">
        <v>57</v>
      </c>
      <c r="L8" s="26" t="s">
        <v>57</v>
      </c>
      <c r="N8" s="28" t="s">
        <v>57</v>
      </c>
      <c r="O8" s="27" t="s">
        <v>57</v>
      </c>
      <c r="Q8" s="28" t="s">
        <v>57</v>
      </c>
      <c r="R8" s="27" t="s">
        <v>57</v>
      </c>
      <c r="S8" s="28" t="s">
        <v>57</v>
      </c>
      <c r="T8" s="27" t="s">
        <v>57</v>
      </c>
      <c r="U8" s="28"/>
      <c r="V8" s="27" t="s">
        <v>57</v>
      </c>
      <c r="W8" s="28" t="s">
        <v>57</v>
      </c>
      <c r="X8" s="28"/>
      <c r="Z8" s="28"/>
    </row>
    <row r="9" spans="2:26">
      <c r="C9" s="27"/>
      <c r="D9" s="28"/>
      <c r="E9" s="28"/>
      <c r="F9" s="28"/>
      <c r="G9" s="27"/>
      <c r="H9" s="28"/>
      <c r="J9" s="27"/>
      <c r="K9" s="28"/>
      <c r="L9" s="27"/>
      <c r="O9" s="29"/>
      <c r="Q9" s="28"/>
      <c r="R9" s="27"/>
      <c r="S9" s="28"/>
      <c r="T9" s="27"/>
      <c r="U9" s="28"/>
      <c r="V9" s="27"/>
      <c r="W9" s="28"/>
      <c r="X9" s="28"/>
    </row>
    <row r="10" spans="2:26">
      <c r="B10" s="5" t="s">
        <v>58</v>
      </c>
      <c r="C10" s="29">
        <v>5.0000000000000002E-5</v>
      </c>
      <c r="D10" s="1">
        <v>1E-4</v>
      </c>
      <c r="E10" s="1">
        <v>1E-4</v>
      </c>
      <c r="G10" s="29">
        <v>0.5</v>
      </c>
      <c r="H10" s="130">
        <v>1</v>
      </c>
      <c r="J10" s="132">
        <v>0.01</v>
      </c>
      <c r="K10" s="131">
        <v>2.5000000000000001E-2</v>
      </c>
      <c r="L10" s="132">
        <v>0.01</v>
      </c>
      <c r="N10" s="1">
        <v>0.1</v>
      </c>
      <c r="O10" s="29">
        <v>0.1</v>
      </c>
      <c r="Q10" s="1">
        <v>0.25</v>
      </c>
      <c r="R10" s="29">
        <v>0.25</v>
      </c>
      <c r="S10" s="1">
        <v>0.25</v>
      </c>
      <c r="T10" s="29">
        <v>0.25</v>
      </c>
      <c r="V10" s="29">
        <f>0.5/32</f>
        <v>1.5625E-2</v>
      </c>
      <c r="W10" s="1">
        <f>0.125/32</f>
        <v>3.90625E-3</v>
      </c>
    </row>
    <row r="11" spans="2:26">
      <c r="B11" s="1" t="s">
        <v>59</v>
      </c>
      <c r="C11" s="29">
        <v>6.25</v>
      </c>
      <c r="D11" s="1">
        <v>6.25</v>
      </c>
      <c r="E11" s="1">
        <v>1.25</v>
      </c>
      <c r="G11" s="29">
        <v>6.25</v>
      </c>
      <c r="H11" s="1">
        <v>6.25</v>
      </c>
      <c r="J11" s="29">
        <v>10</v>
      </c>
      <c r="K11" s="1">
        <v>12.5</v>
      </c>
      <c r="L11" s="29">
        <v>1</v>
      </c>
      <c r="N11" s="1">
        <v>10</v>
      </c>
      <c r="O11" s="29">
        <v>1</v>
      </c>
      <c r="Q11" s="1">
        <v>12.5</v>
      </c>
      <c r="R11" s="29">
        <v>1.25</v>
      </c>
      <c r="S11" s="1">
        <v>5</v>
      </c>
      <c r="T11" s="29">
        <v>0.5</v>
      </c>
      <c r="V11" s="29">
        <v>15.625</v>
      </c>
      <c r="W11" s="1">
        <v>7.8125</v>
      </c>
    </row>
    <row r="12" spans="2:26">
      <c r="B12" s="1" t="s">
        <v>60</v>
      </c>
      <c r="C12" s="30">
        <v>125000</v>
      </c>
      <c r="D12" s="31">
        <v>62500</v>
      </c>
      <c r="E12" s="31">
        <v>12500</v>
      </c>
      <c r="F12" s="31"/>
      <c r="G12" s="30">
        <v>12500000</v>
      </c>
      <c r="H12" s="31">
        <v>6250000</v>
      </c>
      <c r="J12" s="30">
        <v>1000</v>
      </c>
      <c r="K12" s="31">
        <v>500</v>
      </c>
      <c r="L12" s="30">
        <v>100</v>
      </c>
      <c r="N12" s="31">
        <v>100</v>
      </c>
      <c r="O12" s="30">
        <v>10</v>
      </c>
      <c r="Q12" s="31">
        <v>50</v>
      </c>
      <c r="R12" s="30">
        <v>5</v>
      </c>
      <c r="S12" s="31">
        <v>20</v>
      </c>
      <c r="T12" s="30">
        <v>2</v>
      </c>
      <c r="U12" s="31"/>
      <c r="V12" s="30">
        <v>100000</v>
      </c>
      <c r="W12" s="31">
        <v>200000</v>
      </c>
      <c r="X12" s="31"/>
    </row>
    <row r="13" spans="2:26">
      <c r="B13" s="1" t="s">
        <v>19</v>
      </c>
      <c r="C13" s="32">
        <v>2970</v>
      </c>
      <c r="D13" s="2">
        <v>1485</v>
      </c>
      <c r="E13" s="2">
        <v>297</v>
      </c>
      <c r="F13" s="2"/>
      <c r="G13" s="32">
        <v>3080</v>
      </c>
      <c r="H13" s="2">
        <v>1540</v>
      </c>
      <c r="J13" s="32">
        <v>5748</v>
      </c>
      <c r="K13" s="2">
        <v>2885</v>
      </c>
      <c r="L13" s="32">
        <v>577</v>
      </c>
      <c r="N13" s="2">
        <v>22000</v>
      </c>
      <c r="O13" s="32">
        <v>2200</v>
      </c>
      <c r="Q13" s="2">
        <v>23528</v>
      </c>
      <c r="R13" s="32">
        <v>2353</v>
      </c>
      <c r="S13" s="2">
        <v>33719</v>
      </c>
      <c r="T13" s="32">
        <v>3372</v>
      </c>
      <c r="U13" s="153"/>
      <c r="V13" s="32">
        <v>2063</v>
      </c>
      <c r="W13" s="2">
        <v>1320</v>
      </c>
      <c r="X13" s="2"/>
    </row>
    <row r="14" spans="2:26">
      <c r="C14" s="29"/>
      <c r="G14" s="29"/>
      <c r="J14" s="29"/>
      <c r="L14" s="29"/>
      <c r="O14" s="29"/>
      <c r="R14" s="29"/>
      <c r="T14" s="29"/>
      <c r="V14" s="29"/>
    </row>
    <row r="15" spans="2:26">
      <c r="B15" s="1" t="s">
        <v>61</v>
      </c>
      <c r="C15" s="124">
        <f>C11/C10</f>
        <v>125000</v>
      </c>
      <c r="D15" s="120">
        <f>D11/D10</f>
        <v>62500</v>
      </c>
      <c r="E15" s="120">
        <f>E11/E10</f>
        <v>12500</v>
      </c>
      <c r="F15" s="33"/>
      <c r="G15" s="123">
        <f>G11/G10</f>
        <v>12.5</v>
      </c>
      <c r="H15" s="122">
        <f>H11/H10</f>
        <v>6.25</v>
      </c>
      <c r="J15" s="124">
        <f>J11/J10</f>
        <v>1000</v>
      </c>
      <c r="K15" s="120">
        <f>K11/K10</f>
        <v>500</v>
      </c>
      <c r="L15" s="124">
        <f>L11/L10</f>
        <v>100</v>
      </c>
      <c r="N15" s="120">
        <f t="shared" ref="N15:O15" si="0">N11/N10</f>
        <v>100</v>
      </c>
      <c r="O15" s="124">
        <f t="shared" si="0"/>
        <v>10</v>
      </c>
      <c r="Q15" s="154">
        <f t="shared" ref="Q15:T15" si="1">Q11/Q10</f>
        <v>50</v>
      </c>
      <c r="R15" s="156">
        <f t="shared" si="1"/>
        <v>5</v>
      </c>
      <c r="S15" s="154">
        <f t="shared" si="1"/>
        <v>20</v>
      </c>
      <c r="T15" s="156">
        <f t="shared" si="1"/>
        <v>2</v>
      </c>
      <c r="V15" s="124">
        <f>V11/V10</f>
        <v>1000</v>
      </c>
      <c r="W15" s="120">
        <f>W11/W10</f>
        <v>2000</v>
      </c>
      <c r="X15" s="128"/>
    </row>
    <row r="16" spans="2:26">
      <c r="B16" s="1" t="s">
        <v>62</v>
      </c>
      <c r="C16" s="142">
        <f>E16</f>
        <v>1.1164000000000001</v>
      </c>
      <c r="D16" s="143">
        <v>1.1164000000000001</v>
      </c>
      <c r="E16" s="143">
        <f>D16</f>
        <v>1.1164000000000001</v>
      </c>
      <c r="G16" s="34">
        <v>6489</v>
      </c>
      <c r="H16" s="128">
        <f>G16</f>
        <v>6489</v>
      </c>
      <c r="J16" s="144">
        <v>59.95</v>
      </c>
      <c r="K16" s="133">
        <f>L16</f>
        <v>59.95</v>
      </c>
      <c r="L16" s="144">
        <f>J16</f>
        <v>59.95</v>
      </c>
      <c r="N16" s="1">
        <v>4062</v>
      </c>
      <c r="O16" s="29">
        <v>4062</v>
      </c>
      <c r="Q16" s="1">
        <v>6631</v>
      </c>
      <c r="R16" s="29">
        <v>6631</v>
      </c>
      <c r="S16" s="1">
        <v>24349</v>
      </c>
      <c r="T16" s="29">
        <v>24349</v>
      </c>
      <c r="V16" s="158">
        <f>113+7/32</f>
        <v>113.21875</v>
      </c>
      <c r="W16" s="1">
        <f>104+875/32</f>
        <v>131.34375</v>
      </c>
    </row>
    <row r="17" spans="2:24" ht="17">
      <c r="C17" s="29"/>
      <c r="G17" s="29"/>
      <c r="J17" s="29"/>
      <c r="L17" s="29"/>
      <c r="O17" s="29"/>
      <c r="R17" s="29"/>
      <c r="T17" s="29"/>
      <c r="V17" s="26" t="s">
        <v>121</v>
      </c>
      <c r="W17" s="3" t="s">
        <v>119</v>
      </c>
    </row>
    <row r="18" spans="2:24" ht="17">
      <c r="B18" s="135" t="s">
        <v>108</v>
      </c>
      <c r="C18" s="125">
        <f>C15*C16</f>
        <v>139550</v>
      </c>
      <c r="D18" s="115">
        <f>D15*D16</f>
        <v>69775</v>
      </c>
      <c r="E18" s="115">
        <f>E15*E16</f>
        <v>13955</v>
      </c>
      <c r="F18" s="2"/>
      <c r="G18" s="125">
        <f>G15*G16</f>
        <v>81112.5</v>
      </c>
      <c r="H18" s="115">
        <f>H15*H16</f>
        <v>40556.25</v>
      </c>
      <c r="J18" s="125">
        <f>J15*J16</f>
        <v>59950</v>
      </c>
      <c r="K18" s="115">
        <f>K15*K16</f>
        <v>29975</v>
      </c>
      <c r="L18" s="125">
        <f>L15*L16</f>
        <v>5995</v>
      </c>
      <c r="N18" s="115">
        <f t="shared" ref="N18:O18" si="2">N15*N16</f>
        <v>406200</v>
      </c>
      <c r="O18" s="125">
        <f t="shared" si="2"/>
        <v>40620</v>
      </c>
      <c r="Q18" s="115">
        <f t="shared" ref="Q18:W18" si="3">Q15*Q16</f>
        <v>331550</v>
      </c>
      <c r="R18" s="125">
        <f t="shared" si="3"/>
        <v>33155</v>
      </c>
      <c r="S18" s="115">
        <f t="shared" si="3"/>
        <v>486980</v>
      </c>
      <c r="T18" s="125">
        <f t="shared" si="3"/>
        <v>48698</v>
      </c>
      <c r="U18" s="2"/>
      <c r="V18" s="125">
        <f>V15*V16</f>
        <v>113218.75</v>
      </c>
      <c r="W18" s="115">
        <f t="shared" si="3"/>
        <v>262687.5</v>
      </c>
      <c r="X18" s="2"/>
    </row>
    <row r="19" spans="2:24">
      <c r="B19" s="36"/>
      <c r="C19" s="32"/>
      <c r="D19" s="2"/>
      <c r="E19" s="2"/>
      <c r="F19" s="2"/>
      <c r="G19" s="32"/>
      <c r="H19" s="2"/>
      <c r="J19" s="32"/>
      <c r="K19" s="2"/>
      <c r="L19" s="32"/>
      <c r="O19" s="29"/>
      <c r="Q19" s="2"/>
      <c r="R19" s="32"/>
      <c r="S19" s="2"/>
      <c r="T19" s="32"/>
      <c r="U19" s="2"/>
      <c r="V19" s="32"/>
      <c r="W19" s="2"/>
      <c r="X19" s="2"/>
    </row>
    <row r="20" spans="2:24">
      <c r="B20" s="1" t="s">
        <v>63</v>
      </c>
      <c r="C20" s="126">
        <f>C13/C18</f>
        <v>2.1282694374776066E-2</v>
      </c>
      <c r="D20" s="121">
        <f>D13/D18</f>
        <v>2.1282694374776066E-2</v>
      </c>
      <c r="E20" s="121">
        <f>E13/E18</f>
        <v>2.1282694374776066E-2</v>
      </c>
      <c r="F20" s="37"/>
      <c r="G20" s="126">
        <f>G13/G18</f>
        <v>3.7971952535059333E-2</v>
      </c>
      <c r="H20" s="121">
        <f>H13/H18</f>
        <v>3.7971952535059333E-2</v>
      </c>
      <c r="J20" s="126">
        <f>J13/J18</f>
        <v>9.5879899916597164E-2</v>
      </c>
      <c r="K20" s="121">
        <f>K13/K18</f>
        <v>9.6246872393661378E-2</v>
      </c>
      <c r="L20" s="126">
        <f>L13/L18</f>
        <v>9.6246872393661378E-2</v>
      </c>
      <c r="N20" s="121">
        <f t="shared" ref="N20:O20" si="4">N13/N18</f>
        <v>5.4160512063023143E-2</v>
      </c>
      <c r="O20" s="126">
        <f t="shared" si="4"/>
        <v>5.4160512063023143E-2</v>
      </c>
      <c r="Q20" s="155">
        <f t="shared" ref="Q20:W20" si="5">Q13/Q18</f>
        <v>7.0963655557231192E-2</v>
      </c>
      <c r="R20" s="126">
        <f t="shared" si="5"/>
        <v>7.096968782988991E-2</v>
      </c>
      <c r="S20" s="121">
        <f t="shared" si="5"/>
        <v>6.9241036592878558E-2</v>
      </c>
      <c r="T20" s="126">
        <f t="shared" si="5"/>
        <v>6.9243090065300425E-2</v>
      </c>
      <c r="U20" s="129"/>
      <c r="V20" s="126">
        <f t="shared" si="5"/>
        <v>1.8221363510902568E-2</v>
      </c>
      <c r="W20" s="121">
        <f t="shared" si="5"/>
        <v>5.0249821556031405E-3</v>
      </c>
      <c r="X20" s="129"/>
    </row>
    <row r="21" spans="2:24">
      <c r="B21" s="1" t="s">
        <v>122</v>
      </c>
      <c r="C21" s="124">
        <f>1/C20</f>
        <v>46.986531986531986</v>
      </c>
      <c r="D21" s="120">
        <f t="shared" ref="D21:W21" si="6">1/D20</f>
        <v>46.986531986531986</v>
      </c>
      <c r="E21" s="120">
        <f t="shared" si="6"/>
        <v>46.986531986531986</v>
      </c>
      <c r="F21" s="163"/>
      <c r="G21" s="124">
        <f t="shared" si="6"/>
        <v>26.33522727272727</v>
      </c>
      <c r="H21" s="120">
        <f t="shared" si="6"/>
        <v>26.33522727272727</v>
      </c>
      <c r="I21" s="163"/>
      <c r="J21" s="124">
        <f t="shared" si="6"/>
        <v>10.429714683368129</v>
      </c>
      <c r="K21" s="161">
        <f t="shared" si="6"/>
        <v>10.389948006932409</v>
      </c>
      <c r="L21" s="124">
        <f t="shared" si="6"/>
        <v>10.389948006932409</v>
      </c>
      <c r="M21" s="128"/>
      <c r="N21" s="162">
        <f t="shared" si="6"/>
        <v>18.463636363636365</v>
      </c>
      <c r="O21" s="124">
        <f t="shared" si="6"/>
        <v>18.463636363636365</v>
      </c>
      <c r="P21" s="128"/>
      <c r="Q21" s="162">
        <f t="shared" si="6"/>
        <v>14.091720503230192</v>
      </c>
      <c r="R21" s="124">
        <f t="shared" si="6"/>
        <v>14.090522736931577</v>
      </c>
      <c r="S21" s="124">
        <f t="shared" si="6"/>
        <v>14.442302559387882</v>
      </c>
      <c r="T21" s="124">
        <f t="shared" si="6"/>
        <v>14.441874258600237</v>
      </c>
      <c r="U21" s="164"/>
      <c r="V21" s="124">
        <f t="shared" si="6"/>
        <v>54.880634997576344</v>
      </c>
      <c r="W21" s="120">
        <f t="shared" si="6"/>
        <v>199.00568181818181</v>
      </c>
      <c r="X21" s="129"/>
    </row>
    <row r="22" spans="2:24">
      <c r="C22" s="29"/>
      <c r="G22" s="29"/>
      <c r="J22" s="29"/>
      <c r="L22" s="29"/>
      <c r="O22" s="29"/>
      <c r="R22" s="29"/>
      <c r="T22" s="29"/>
      <c r="V22" s="29"/>
    </row>
    <row r="23" spans="2:24">
      <c r="B23" s="1" t="s">
        <v>64</v>
      </c>
      <c r="C23" s="29"/>
      <c r="D23" s="3"/>
      <c r="G23" s="29"/>
      <c r="J23" s="29"/>
      <c r="L23" s="29"/>
      <c r="O23" s="29"/>
      <c r="R23" s="29"/>
      <c r="T23" s="29"/>
      <c r="V23" s="29"/>
    </row>
    <row r="24" spans="2:24" ht="17">
      <c r="B24" s="119" t="s">
        <v>104</v>
      </c>
      <c r="C24" s="32">
        <v>155734</v>
      </c>
      <c r="D24" s="2">
        <v>2297</v>
      </c>
      <c r="E24" s="2">
        <v>21723</v>
      </c>
      <c r="G24" s="32">
        <v>164593</v>
      </c>
      <c r="H24" s="2">
        <v>419</v>
      </c>
      <c r="J24" s="32">
        <v>302448</v>
      </c>
      <c r="K24" s="2">
        <v>3222</v>
      </c>
      <c r="L24" s="32">
        <v>57366</v>
      </c>
      <c r="N24" s="2">
        <v>253026</v>
      </c>
      <c r="O24" s="32">
        <v>459052</v>
      </c>
      <c r="Q24" s="2">
        <v>2489764</v>
      </c>
      <c r="R24" s="32">
        <v>2342997</v>
      </c>
      <c r="S24" s="2">
        <v>903935</v>
      </c>
      <c r="T24" s="32">
        <v>2949003</v>
      </c>
      <c r="U24" s="2"/>
      <c r="V24" s="32">
        <v>4677779</v>
      </c>
      <c r="W24" s="2">
        <v>2994907</v>
      </c>
    </row>
    <row r="25" spans="2:24" ht="18" thickBot="1">
      <c r="B25" s="135" t="s">
        <v>107</v>
      </c>
      <c r="C25" s="127">
        <f>C24*C18/1000000</f>
        <v>21732.679700000001</v>
      </c>
      <c r="D25" s="120">
        <f>D24*D18/1000000</f>
        <v>160.27317500000001</v>
      </c>
      <c r="E25" s="120">
        <f t="shared" ref="E25" si="7">E24*E18/1000000</f>
        <v>303.14446500000003</v>
      </c>
      <c r="F25" s="33"/>
      <c r="G25" s="127">
        <f t="shared" ref="G25" si="8">G24*G18/1000000</f>
        <v>13350.5497125</v>
      </c>
      <c r="H25" s="120">
        <f t="shared" ref="H25" si="9">H24*H18/1000000</f>
        <v>16.993068749999999</v>
      </c>
      <c r="J25" s="127">
        <f t="shared" ref="J25" si="10">J24*J18/1000000</f>
        <v>18131.757600000001</v>
      </c>
      <c r="K25" s="120">
        <f t="shared" ref="K25" si="11">K24*K18/1000000</f>
        <v>96.579449999999994</v>
      </c>
      <c r="L25" s="127">
        <f t="shared" ref="L25" si="12">L24*L18/1000000</f>
        <v>343.90917000000002</v>
      </c>
      <c r="N25" s="120">
        <f t="shared" ref="N25:W25" si="13">N24*N18/1000000</f>
        <v>102779.1612</v>
      </c>
      <c r="O25" s="127">
        <f t="shared" si="13"/>
        <v>18646.69224</v>
      </c>
      <c r="Q25" s="120">
        <f t="shared" si="13"/>
        <v>825481.25419999997</v>
      </c>
      <c r="R25" s="127">
        <f t="shared" si="13"/>
        <v>77682.065535000002</v>
      </c>
      <c r="S25" s="120">
        <f t="shared" si="13"/>
        <v>440198.26630000002</v>
      </c>
      <c r="T25" s="127">
        <f t="shared" si="13"/>
        <v>143610.548094</v>
      </c>
      <c r="U25" s="2"/>
      <c r="V25" s="127">
        <f t="shared" si="13"/>
        <v>529612.29115625005</v>
      </c>
      <c r="W25" s="120">
        <f t="shared" si="13"/>
        <v>786724.63256249996</v>
      </c>
    </row>
    <row r="26" spans="2:24" ht="15" thickBot="1">
      <c r="K26" s="3"/>
      <c r="M26" s="3"/>
      <c r="N26" s="3"/>
      <c r="O26" s="3"/>
      <c r="P26" s="3"/>
    </row>
    <row r="27" spans="2:24" ht="17">
      <c r="K27" s="3"/>
      <c r="M27" s="3"/>
      <c r="N27" s="3"/>
      <c r="O27" s="3"/>
      <c r="P27" s="3"/>
      <c r="Q27" s="85" t="s">
        <v>77</v>
      </c>
      <c r="S27" s="85" t="s">
        <v>76</v>
      </c>
      <c r="T27" s="39"/>
      <c r="V27" s="157" t="s">
        <v>69</v>
      </c>
      <c r="W27" s="39" t="s">
        <v>72</v>
      </c>
    </row>
    <row r="28" spans="2:24">
      <c r="C28" s="35"/>
      <c r="G28" s="2"/>
      <c r="K28" s="3"/>
      <c r="L28" s="145"/>
      <c r="M28" s="3"/>
      <c r="N28" s="3"/>
      <c r="O28" s="3"/>
      <c r="P28" s="3"/>
      <c r="Q28" s="86" t="s">
        <v>66</v>
      </c>
      <c r="S28" s="29" t="s">
        <v>75</v>
      </c>
      <c r="T28" s="29" t="s">
        <v>73</v>
      </c>
      <c r="V28" s="29" t="s">
        <v>70</v>
      </c>
      <c r="W28" s="40" t="s">
        <v>73</v>
      </c>
    </row>
    <row r="29" spans="2:24" ht="15" thickBot="1">
      <c r="K29" s="3"/>
      <c r="L29" s="3"/>
      <c r="Q29" s="42" t="s">
        <v>78</v>
      </c>
      <c r="S29" s="42" t="s">
        <v>79</v>
      </c>
      <c r="T29" s="41" t="s">
        <v>120</v>
      </c>
      <c r="V29" s="42" t="s">
        <v>71</v>
      </c>
      <c r="W29" s="41" t="s">
        <v>74</v>
      </c>
    </row>
    <row r="30" spans="2:24">
      <c r="C30" s="146"/>
      <c r="G30" s="146"/>
      <c r="K30" s="3"/>
      <c r="L30" s="147"/>
    </row>
    <row r="31" spans="2:24">
      <c r="K31" s="3"/>
      <c r="L31" s="3"/>
    </row>
    <row r="32" spans="2:24">
      <c r="K32" s="28"/>
      <c r="L32" s="28"/>
    </row>
    <row r="33" spans="11:12">
      <c r="K33" s="28"/>
      <c r="L33" s="28"/>
    </row>
    <row r="34" spans="11:12">
      <c r="K34" s="28"/>
    </row>
    <row r="37" spans="11:12">
      <c r="K37" s="31"/>
      <c r="L37" s="31"/>
    </row>
    <row r="40" spans="11:12">
      <c r="K40" s="128"/>
      <c r="L40" s="128"/>
    </row>
    <row r="43" spans="11:12">
      <c r="K43" s="2"/>
      <c r="L43" s="2"/>
    </row>
    <row r="45" spans="11:12">
      <c r="K45" s="129"/>
      <c r="L45" s="129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futures</vt:lpstr>
      <vt:lpstr>f contract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youngju</dc:creator>
  <cp:lastModifiedBy>윤 경식</cp:lastModifiedBy>
  <dcterms:created xsi:type="dcterms:W3CDTF">2024-12-31T00:51:06Z</dcterms:created>
  <dcterms:modified xsi:type="dcterms:W3CDTF">2026-03-01T13:55:14Z</dcterms:modified>
</cp:coreProperties>
</file>